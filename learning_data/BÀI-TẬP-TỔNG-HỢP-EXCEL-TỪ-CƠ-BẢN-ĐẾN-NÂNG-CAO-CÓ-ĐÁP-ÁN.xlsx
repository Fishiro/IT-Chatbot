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Peanu\Downloads\Cô Ngân Job\"/>
    </mc:Choice>
  </mc:AlternateContent>
  <xr:revisionPtr revIDLastSave="0" documentId="8_{72924491-6837-47B7-BC3D-35CB55FA05A6}" xr6:coauthVersionLast="47" xr6:coauthVersionMax="47" xr10:uidLastSave="{00000000-0000-0000-0000-000000000000}"/>
  <bookViews>
    <workbookView xWindow="-120" yWindow="-120" windowWidth="29040" windowHeight="15720" tabRatio="874" activeTab="6" xr2:uid="{731192C7-8DA5-4017-9E02-4E52D4592868}"/>
  </bookViews>
  <sheets>
    <sheet name="Bài mở đầu" sheetId="24" r:id="rId1"/>
    <sheet name="Bai 1" sheetId="6" r:id="rId2"/>
    <sheet name="Bai 2" sheetId="2" r:id="rId3"/>
    <sheet name="Bai 3" sheetId="3" r:id="rId4"/>
    <sheet name="Bai 4" sheetId="4" r:id="rId5"/>
    <sheet name="Bai 5" sheetId="7" r:id="rId6"/>
    <sheet name="Bai 6" sheetId="13" r:id="rId7"/>
    <sheet name="Bai 7" sheetId="14" r:id="rId8"/>
    <sheet name="Bai 8" sheetId="8" r:id="rId9"/>
    <sheet name="Bai 9" sheetId="15" r:id="rId10"/>
    <sheet name="Bai 10" sheetId="9" r:id="rId11"/>
    <sheet name="Bai 11" sheetId="10" r:id="rId12"/>
    <sheet name="Bai 12" sheetId="12" r:id="rId13"/>
    <sheet name="Bai 13" sheetId="16" r:id="rId14"/>
    <sheet name="Bai 14" sheetId="17" r:id="rId15"/>
    <sheet name="Bai 15" sheetId="18" r:id="rId16"/>
    <sheet name="Bai 16" sheetId="19" r:id="rId17"/>
    <sheet name="Bai 17" sheetId="20" r:id="rId18"/>
    <sheet name="Bai 18" sheetId="21" r:id="rId19"/>
    <sheet name="Bai 19" sheetId="22" r:id="rId20"/>
    <sheet name="Bai 20" sheetId="23" r:id="rId21"/>
    <sheet name="DANH SÁCH ĐĂNG KÝ THUÊ PHÒNG" sheetId="25" r:id="rId22"/>
    <sheet name="BẢNG THEO DÕI KHÁCH HÀNG " sheetId="26" r:id="rId23"/>
    <sheet name="BẢNG THỐNG KÊ KINH DOANH" sheetId="28" r:id="rId24"/>
    <sheet name="BẢNG LƯƠNG 2" sheetId="29" r:id="rId25"/>
    <sheet name="BẢNG CT TT KH CỦA MỘT KS" sheetId="31" r:id="rId26"/>
    <sheet name="KẾT QUẢ THI CUỐI KHÓA" sheetId="32" r:id="rId27"/>
    <sheet name="BẢNG CHIẾT TÍNH GT" sheetId="35" r:id="rId28"/>
    <sheet name="BẢNG THEO DÕI CUỘC GỌI" sheetId="36" r:id="rId29"/>
    <sheet name="BẢNG TÍNH TIỀN THUÊ XE 2" sheetId="37" r:id="rId30"/>
    <sheet name="BẢNG TÍNH TIỀN ĐIỆN" sheetId="38" r:id="rId31"/>
    <sheet name="BẢNG TÍNH TIỀN NƯỚC" sheetId="39" r:id="rId32"/>
    <sheet name="KẾT QUẢ HỌC TẬP NĂM 2002" sheetId="40" r:id="rId33"/>
    <sheet name="CÁC HÀM XỬ LÝ CHUỖI" sheetId="41" r:id="rId34"/>
    <sheet name="CÁC HÀM NGÀY THÁNG THỜI GIAN" sheetId="42" r:id="rId35"/>
    <sheet name="HÀM CƠ BẢN" sheetId="47" r:id="rId36"/>
    <sheet name="BÀI TẬP VỀ NGÀY THÁNG" sheetId="48" r:id="rId37"/>
    <sheet name="BĐHS" sheetId="49" r:id="rId38"/>
    <sheet name="BẢNG KÊ HÀNG TỒN KHO Q3 - 2000" sheetId="50" r:id="rId39"/>
    <sheet name="BC TÌNH HÌNH KINH DOANH" sheetId="51" r:id="rId40"/>
    <sheet name="BẢNG THỐNG KÊ BÁN HÀNG" sheetId="52" r:id="rId41"/>
    <sheet name="Sheet21A" sheetId="53" r:id="rId42"/>
    <sheet name="ĐÁP ÁN SHEET 21A" sheetId="54" r:id="rId43"/>
    <sheet name="BẢNG ĐIỂM THI XẾP LOẠI HỌC TẬP" sheetId="55" r:id="rId44"/>
    <sheet name="BẢNG THỐNG KÊ TIÊU THỤ SẢN PHẨM" sheetId="56" r:id="rId45"/>
    <sheet name="KẾT QUẢ TS" sheetId="57" r:id="rId46"/>
    <sheet name="GỌI ĐT" sheetId="58" r:id="rId47"/>
    <sheet name="Bài tập Excel " sheetId="59" r:id="rId48"/>
    <sheet name="BẢNG TÍNH TIỀN KS " sheetId="60" r:id="rId49"/>
    <sheet name="BÀI TẬP" sheetId="61" r:id="rId50"/>
    <sheet name="KẾT QUẢ KT CHẤT LƯỢNG ĐẦU NĂM" sheetId="62" r:id="rId51"/>
    <sheet name="BẢNG LƯƠNG THÁNG 1 NĂM 2003" sheetId="63" r:id="rId52"/>
    <sheet name="BẢNG TÍNH TIỀN KS" sheetId="64" r:id="rId53"/>
    <sheet name="BẢNG TÍNH TIỀN THUÊ XE" sheetId="66" r:id="rId54"/>
    <sheet name="KẾT QUẢ THI TUYỂN SINH" sheetId="67" r:id="rId55"/>
    <sheet name="TÌNH HÌNH XHNS QUÝ I NĂM 2002" sheetId="68" r:id="rId56"/>
  </sheets>
  <definedNames>
    <definedName name="_xlnm._FilterDatabase" localSheetId="13" hidden="1">'Bai 13'!$A$11:$M$19</definedName>
    <definedName name="_xlnm._FilterDatabase" localSheetId="15" hidden="1">'Bai 15'!$A$5:$H$14</definedName>
    <definedName name="_xlnm._FilterDatabase" localSheetId="16" hidden="1">'Bai 16'!$A$3:$L$13</definedName>
    <definedName name="_xlnm._FilterDatabase" localSheetId="17" hidden="1">'Bai 17'!$A$6:$H$13</definedName>
    <definedName name="_xlnm._FilterDatabase" localSheetId="18" hidden="1">'Bai 18'!$A$36:$D$40</definedName>
    <definedName name="_xlnm._FilterDatabase" localSheetId="19" hidden="1">'Bai 19'!#REF!</definedName>
    <definedName name="_xlnm._FilterDatabase" localSheetId="20" hidden="1">'Bai 20'!$A$3:$J$13</definedName>
    <definedName name="_xlnm._FilterDatabase" localSheetId="4" hidden="1">'Bai 4'!$A$5:$F$9</definedName>
    <definedName name="_xlnm.Criteria" localSheetId="13">'Bai 13'!$A$43:$A$44</definedName>
    <definedName name="_xlnm.Criteria" localSheetId="14">'Bai 14'!#REF!</definedName>
    <definedName name="_xlnm.Criteria" localSheetId="15">'Bai 15'!$J$24:$J$25</definedName>
    <definedName name="_xlnm.Criteria" localSheetId="16">'Bai 16'!$A$41:$A$42</definedName>
    <definedName name="_xlnm.Criteria" localSheetId="17">'Bai 17'!$J$7:$K$8</definedName>
    <definedName name="_xlnm.Criteria" localSheetId="18">'Bai 18'!$D$44:$D$45</definedName>
    <definedName name="_xlnm.Criteria" localSheetId="19">'Bai 19'!#REF!</definedName>
    <definedName name="_xlnm.Criteria" localSheetId="20">'Bai 20'!$B$42:$C$43</definedName>
    <definedName name="_xlnm.Extract" localSheetId="13">'Bai 13'!$A$46:$M$46</definedName>
    <definedName name="_xlnm.Extract" localSheetId="14">'Bai 14'!$A$43:$J$43</definedName>
    <definedName name="_xlnm.Extract" localSheetId="15">'Bai 15'!$J$26:$P$26</definedName>
    <definedName name="_xlnm.Extract" localSheetId="16">'Bai 16'!$A$43:$L$43</definedName>
    <definedName name="_xlnm.Extract" localSheetId="17">'Bai 17'!$A$42:$H$42</definedName>
    <definedName name="_xlnm.Extract" localSheetId="18">'Bai 18'!$A$47:$H$47</definedName>
    <definedName name="_xlnm.Extract" localSheetId="19">'Bai 19'!#REF!</definedName>
    <definedName name="_xlnm.Extract" localSheetId="20">'Bai 20'!$A$44:$J$44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8" l="1"/>
  <c r="E4" i="68"/>
  <c r="F4" i="68"/>
  <c r="G4" i="68"/>
  <c r="C5" i="68"/>
  <c r="E5" i="68"/>
  <c r="F5" i="68"/>
  <c r="G5" i="68"/>
  <c r="C6" i="68"/>
  <c r="E6" i="68"/>
  <c r="F6" i="68"/>
  <c r="G6" i="68"/>
  <c r="C7" i="68"/>
  <c r="E7" i="68"/>
  <c r="F7" i="68"/>
  <c r="G7" i="68"/>
  <c r="C8" i="68"/>
  <c r="E8" i="68"/>
  <c r="F8" i="68"/>
  <c r="G8" i="68"/>
  <c r="C9" i="68"/>
  <c r="E9" i="68"/>
  <c r="F9" i="68"/>
  <c r="G9" i="68"/>
  <c r="C10" i="68"/>
  <c r="E10" i="68"/>
  <c r="F10" i="68"/>
  <c r="G10" i="68"/>
  <c r="D11" i="68"/>
  <c r="E11" i="68"/>
  <c r="F11" i="68"/>
  <c r="G11" i="68"/>
  <c r="F4" i="67"/>
  <c r="G4" i="67"/>
  <c r="H4" i="67"/>
  <c r="I4" i="67"/>
  <c r="J4" i="67"/>
  <c r="K4" i="67"/>
  <c r="F5" i="67"/>
  <c r="G5" i="67"/>
  <c r="H5" i="67"/>
  <c r="I5" i="67"/>
  <c r="J5" i="67"/>
  <c r="K5" i="67"/>
  <c r="F6" i="67"/>
  <c r="G6" i="67"/>
  <c r="H6" i="67"/>
  <c r="I6" i="67"/>
  <c r="J6" i="67"/>
  <c r="K6" i="67"/>
  <c r="F7" i="67"/>
  <c r="G7" i="67"/>
  <c r="H7" i="67"/>
  <c r="I7" i="67"/>
  <c r="J7" i="67"/>
  <c r="K7" i="67"/>
  <c r="F8" i="67"/>
  <c r="G8" i="67"/>
  <c r="H8" i="67"/>
  <c r="I8" i="67"/>
  <c r="J8" i="67"/>
  <c r="K8" i="67"/>
  <c r="F9" i="67"/>
  <c r="G9" i="67"/>
  <c r="H9" i="67"/>
  <c r="I9" i="67"/>
  <c r="J9" i="67"/>
  <c r="K9" i="67"/>
  <c r="F4" i="66"/>
  <c r="G4" i="66"/>
  <c r="H4" i="66"/>
  <c r="F5" i="66"/>
  <c r="G5" i="66"/>
  <c r="H5" i="66"/>
  <c r="F6" i="66"/>
  <c r="G6" i="66"/>
  <c r="H6" i="66"/>
  <c r="F7" i="66"/>
  <c r="G7" i="66"/>
  <c r="H7" i="66"/>
  <c r="F8" i="66"/>
  <c r="G8" i="66"/>
  <c r="H8" i="66"/>
  <c r="F9" i="66"/>
  <c r="G9" i="66"/>
  <c r="H9" i="66"/>
  <c r="F10" i="66"/>
  <c r="H10" i="66"/>
  <c r="D29" i="66"/>
  <c r="E29" i="66"/>
  <c r="D30" i="66"/>
  <c r="D33" i="66" s="1"/>
  <c r="E30" i="66"/>
  <c r="E33" i="66" s="1"/>
  <c r="D31" i="66"/>
  <c r="E31" i="66"/>
  <c r="D32" i="66"/>
  <c r="E32" i="66"/>
  <c r="F4" i="64"/>
  <c r="H4" i="64"/>
  <c r="I4" i="64"/>
  <c r="J4" i="64"/>
  <c r="K4" i="64" s="1"/>
  <c r="F5" i="64"/>
  <c r="H5" i="64"/>
  <c r="I5" i="64"/>
  <c r="J5" i="64"/>
  <c r="K5" i="64" s="1"/>
  <c r="F6" i="64"/>
  <c r="H6" i="64"/>
  <c r="I6" i="64"/>
  <c r="J6" i="64"/>
  <c r="K6" i="64" s="1"/>
  <c r="F7" i="64"/>
  <c r="H7" i="64"/>
  <c r="I7" i="64" s="1"/>
  <c r="J7" i="64"/>
  <c r="F8" i="64"/>
  <c r="H8" i="64"/>
  <c r="I8" i="64"/>
  <c r="J8" i="64"/>
  <c r="F9" i="64"/>
  <c r="H9" i="64"/>
  <c r="I9" i="64"/>
  <c r="J9" i="64"/>
  <c r="K9" i="64"/>
  <c r="F10" i="64"/>
  <c r="H10" i="64"/>
  <c r="I10" i="64"/>
  <c r="J10" i="64"/>
  <c r="K10" i="64"/>
  <c r="F11" i="64"/>
  <c r="H11" i="64"/>
  <c r="I11" i="64"/>
  <c r="J11" i="64"/>
  <c r="K11" i="64"/>
  <c r="F12" i="64"/>
  <c r="H12" i="64"/>
  <c r="I12" i="64"/>
  <c r="J12" i="64"/>
  <c r="K12" i="64"/>
  <c r="F13" i="64"/>
  <c r="H13" i="64"/>
  <c r="I13" i="64"/>
  <c r="J13" i="64"/>
  <c r="K13" i="64"/>
  <c r="J29" i="64"/>
  <c r="J30" i="64"/>
  <c r="J31" i="64"/>
  <c r="J32" i="64"/>
  <c r="J33" i="64"/>
  <c r="J34" i="64"/>
  <c r="D38" i="64"/>
  <c r="F38" i="64"/>
  <c r="D39" i="64"/>
  <c r="E39" i="64"/>
  <c r="F39" i="64"/>
  <c r="D40" i="64"/>
  <c r="E40" i="64"/>
  <c r="F40" i="64"/>
  <c r="G40" i="64"/>
  <c r="D41" i="64"/>
  <c r="F41" i="64"/>
  <c r="E4" i="63"/>
  <c r="G4" i="63"/>
  <c r="E5" i="63"/>
  <c r="G5" i="63"/>
  <c r="I5" i="63" s="1"/>
  <c r="E6" i="63"/>
  <c r="G6" i="63"/>
  <c r="I6" i="63"/>
  <c r="E7" i="63"/>
  <c r="G7" i="63"/>
  <c r="I7" i="63" s="1"/>
  <c r="E8" i="63"/>
  <c r="G8" i="63"/>
  <c r="I8" i="63"/>
  <c r="E9" i="63"/>
  <c r="G9" i="63"/>
  <c r="I9" i="63" s="1"/>
  <c r="E10" i="63"/>
  <c r="G10" i="63"/>
  <c r="I10" i="63" s="1"/>
  <c r="E11" i="63"/>
  <c r="G11" i="63"/>
  <c r="I11" i="63" s="1"/>
  <c r="E12" i="63"/>
  <c r="G12" i="63"/>
  <c r="I12" i="63" s="1"/>
  <c r="E13" i="63"/>
  <c r="G13" i="63"/>
  <c r="I13" i="63" s="1"/>
  <c r="H14" i="63"/>
  <c r="G5" i="62"/>
  <c r="H5" i="62"/>
  <c r="I5" i="62"/>
  <c r="G6" i="62"/>
  <c r="J5" i="62" s="1"/>
  <c r="H6" i="62"/>
  <c r="I6" i="62"/>
  <c r="G7" i="62"/>
  <c r="J6" i="62" s="1"/>
  <c r="H7" i="62"/>
  <c r="I7" i="62"/>
  <c r="G8" i="62"/>
  <c r="J7" i="62" s="1"/>
  <c r="H8" i="62"/>
  <c r="I8" i="62"/>
  <c r="G9" i="62"/>
  <c r="J8" i="62" s="1"/>
  <c r="H9" i="62"/>
  <c r="I9" i="62"/>
  <c r="G10" i="62"/>
  <c r="J9" i="62" s="1"/>
  <c r="H10" i="62"/>
  <c r="I10" i="62"/>
  <c r="G11" i="62"/>
  <c r="J10" i="62" s="1"/>
  <c r="H11" i="62"/>
  <c r="I11" i="62"/>
  <c r="G12" i="62"/>
  <c r="J11" i="62" s="1"/>
  <c r="H12" i="62"/>
  <c r="I12" i="62"/>
  <c r="G13" i="62"/>
  <c r="J12" i="62" s="1"/>
  <c r="H13" i="62"/>
  <c r="I13" i="62"/>
  <c r="G14" i="62"/>
  <c r="J13" i="62" s="1"/>
  <c r="H14" i="62"/>
  <c r="I14" i="62"/>
  <c r="J14" i="62"/>
  <c r="C3" i="61"/>
  <c r="G3" i="61"/>
  <c r="H3" i="61"/>
  <c r="I3" i="61"/>
  <c r="C4" i="61"/>
  <c r="G4" i="61"/>
  <c r="H4" i="61"/>
  <c r="I4" i="61"/>
  <c r="C5" i="61"/>
  <c r="G5" i="61"/>
  <c r="H5" i="61"/>
  <c r="I5" i="61"/>
  <c r="C6" i="61"/>
  <c r="G6" i="61"/>
  <c r="H6" i="61"/>
  <c r="I6" i="61"/>
  <c r="C7" i="61"/>
  <c r="G7" i="61"/>
  <c r="H7" i="61"/>
  <c r="I7" i="61"/>
  <c r="C8" i="61"/>
  <c r="G8" i="61"/>
  <c r="H8" i="61"/>
  <c r="I8" i="61"/>
  <c r="E11" i="61"/>
  <c r="E12" i="61"/>
  <c r="E13" i="61"/>
  <c r="E4" i="60"/>
  <c r="F4" i="60"/>
  <c r="G4" i="60"/>
  <c r="H4" i="60"/>
  <c r="I4" i="60"/>
  <c r="J4" i="60"/>
  <c r="K4" i="60"/>
  <c r="L4" i="60"/>
  <c r="E5" i="60"/>
  <c r="F5" i="60"/>
  <c r="G5" i="60"/>
  <c r="H5" i="60"/>
  <c r="I5" i="60"/>
  <c r="J5" i="60"/>
  <c r="K5" i="60"/>
  <c r="L5" i="60"/>
  <c r="E6" i="60"/>
  <c r="F6" i="60"/>
  <c r="G6" i="60"/>
  <c r="H6" i="60"/>
  <c r="I6" i="60"/>
  <c r="J6" i="60"/>
  <c r="K6" i="60"/>
  <c r="L6" i="60"/>
  <c r="E7" i="60"/>
  <c r="F7" i="60"/>
  <c r="G7" i="60"/>
  <c r="H7" i="60"/>
  <c r="I7" i="60"/>
  <c r="J7" i="60"/>
  <c r="K7" i="60"/>
  <c r="L7" i="60"/>
  <c r="E8" i="60"/>
  <c r="F8" i="60"/>
  <c r="G8" i="60"/>
  <c r="H8" i="60"/>
  <c r="I8" i="60"/>
  <c r="J8" i="60"/>
  <c r="K8" i="60"/>
  <c r="L8" i="60"/>
  <c r="E9" i="60"/>
  <c r="F9" i="60"/>
  <c r="G9" i="60"/>
  <c r="H9" i="60"/>
  <c r="I9" i="60"/>
  <c r="J9" i="60"/>
  <c r="K9" i="60"/>
  <c r="L9" i="60"/>
  <c r="E10" i="60"/>
  <c r="F10" i="60"/>
  <c r="G10" i="60"/>
  <c r="H10" i="60"/>
  <c r="I10" i="60"/>
  <c r="J10" i="60"/>
  <c r="K10" i="60"/>
  <c r="L10" i="60"/>
  <c r="E11" i="60"/>
  <c r="F11" i="60"/>
  <c r="G11" i="60"/>
  <c r="H11" i="60"/>
  <c r="I11" i="60"/>
  <c r="J11" i="60"/>
  <c r="K11" i="60"/>
  <c r="L11" i="60"/>
  <c r="F3" i="59"/>
  <c r="G3" i="59"/>
  <c r="F4" i="59"/>
  <c r="G4" i="59"/>
  <c r="F5" i="59"/>
  <c r="G5" i="59"/>
  <c r="F6" i="59"/>
  <c r="G6" i="59"/>
  <c r="F7" i="59"/>
  <c r="G7" i="59"/>
  <c r="F8" i="59"/>
  <c r="G8" i="59"/>
  <c r="F9" i="59"/>
  <c r="G9" i="59"/>
  <c r="F10" i="59"/>
  <c r="G10" i="59"/>
  <c r="F11" i="59"/>
  <c r="G11" i="59"/>
  <c r="C10" i="58"/>
  <c r="F10" i="58"/>
  <c r="G10" i="58"/>
  <c r="H10" i="58"/>
  <c r="I10" i="58"/>
  <c r="C11" i="58"/>
  <c r="F11" i="58"/>
  <c r="G11" i="58"/>
  <c r="H11" i="58"/>
  <c r="I11" i="58"/>
  <c r="C12" i="58"/>
  <c r="F12" i="58"/>
  <c r="G12" i="58"/>
  <c r="H12" i="58"/>
  <c r="I12" i="58"/>
  <c r="C13" i="58"/>
  <c r="F13" i="58"/>
  <c r="G13" i="58"/>
  <c r="H13" i="58"/>
  <c r="I13" i="58"/>
  <c r="C14" i="58"/>
  <c r="F14" i="58"/>
  <c r="G14" i="58"/>
  <c r="H14" i="58"/>
  <c r="I14" i="58"/>
  <c r="C15" i="58"/>
  <c r="F15" i="58"/>
  <c r="G15" i="58"/>
  <c r="H15" i="58"/>
  <c r="I15" i="58"/>
  <c r="C18" i="58"/>
  <c r="C19" i="58"/>
  <c r="C20" i="58"/>
  <c r="H22" i="58"/>
  <c r="I22" i="58"/>
  <c r="B23" i="58"/>
  <c r="C23" i="58"/>
  <c r="B24" i="58"/>
  <c r="C24" i="58"/>
  <c r="H24" i="58"/>
  <c r="I24" i="58"/>
  <c r="A27" i="58"/>
  <c r="C16" i="57"/>
  <c r="G16" i="57"/>
  <c r="H16" i="57"/>
  <c r="I16" i="57"/>
  <c r="J16" i="57"/>
  <c r="O22" i="57" s="1"/>
  <c r="C17" i="57"/>
  <c r="G17" i="57"/>
  <c r="H17" i="57"/>
  <c r="I17" i="57"/>
  <c r="J17" i="57"/>
  <c r="C18" i="57"/>
  <c r="G18" i="57"/>
  <c r="H18" i="57"/>
  <c r="I18" i="57"/>
  <c r="J18" i="57"/>
  <c r="C19" i="57"/>
  <c r="G19" i="57"/>
  <c r="H19" i="57"/>
  <c r="I19" i="57"/>
  <c r="J19" i="57"/>
  <c r="C20" i="57"/>
  <c r="G20" i="57"/>
  <c r="H20" i="57"/>
  <c r="I20" i="57"/>
  <c r="J20" i="57"/>
  <c r="C21" i="57"/>
  <c r="G21" i="57"/>
  <c r="H21" i="57"/>
  <c r="I21" i="57"/>
  <c r="J21" i="57"/>
  <c r="C22" i="57"/>
  <c r="G22" i="57"/>
  <c r="H22" i="57"/>
  <c r="I22" i="57"/>
  <c r="J22" i="57"/>
  <c r="C23" i="57"/>
  <c r="G23" i="57"/>
  <c r="H23" i="57"/>
  <c r="I23" i="57"/>
  <c r="J23" i="57"/>
  <c r="O23" i="57"/>
  <c r="C24" i="57"/>
  <c r="G24" i="57"/>
  <c r="H24" i="57"/>
  <c r="I24" i="57"/>
  <c r="J24" i="57"/>
  <c r="C25" i="57"/>
  <c r="G25" i="57"/>
  <c r="H25" i="57"/>
  <c r="I25" i="57"/>
  <c r="J25" i="57"/>
  <c r="D5" i="56"/>
  <c r="E5" i="56"/>
  <c r="G5" i="56"/>
  <c r="D6" i="56"/>
  <c r="E6" i="56"/>
  <c r="G6" i="56"/>
  <c r="D7" i="56"/>
  <c r="E7" i="56"/>
  <c r="G7" i="56"/>
  <c r="D8" i="56"/>
  <c r="E8" i="56"/>
  <c r="G8" i="56"/>
  <c r="D9" i="56"/>
  <c r="E9" i="56"/>
  <c r="G9" i="56"/>
  <c r="D10" i="56"/>
  <c r="E10" i="56"/>
  <c r="G10" i="56"/>
  <c r="G11" i="56"/>
  <c r="D26" i="56"/>
  <c r="D27" i="56"/>
  <c r="D28" i="56"/>
  <c r="N5" i="55"/>
  <c r="O5" i="55"/>
  <c r="P5" i="55"/>
  <c r="Q5" i="55"/>
  <c r="R5" i="55"/>
  <c r="S5" i="55"/>
  <c r="N6" i="55"/>
  <c r="O6" i="55"/>
  <c r="P6" i="55"/>
  <c r="Q6" i="55"/>
  <c r="R6" i="55"/>
  <c r="S6" i="55"/>
  <c r="N7" i="55"/>
  <c r="O7" i="55"/>
  <c r="P7" i="55"/>
  <c r="Q7" i="55"/>
  <c r="R7" i="55"/>
  <c r="S7" i="55"/>
  <c r="N8" i="55"/>
  <c r="O8" i="55"/>
  <c r="P8" i="55"/>
  <c r="Q8" i="55"/>
  <c r="R8" i="55"/>
  <c r="S8" i="55"/>
  <c r="N9" i="55"/>
  <c r="O9" i="55"/>
  <c r="P9" i="55"/>
  <c r="Q9" i="55"/>
  <c r="R9" i="55"/>
  <c r="S9" i="55"/>
  <c r="N10" i="55"/>
  <c r="O10" i="55"/>
  <c r="P10" i="55"/>
  <c r="Q10" i="55"/>
  <c r="R10" i="55"/>
  <c r="S10" i="55"/>
  <c r="N11" i="55"/>
  <c r="O11" i="55"/>
  <c r="P11" i="55"/>
  <c r="Q11" i="55"/>
  <c r="R11" i="55"/>
  <c r="S11" i="55"/>
  <c r="N12" i="55"/>
  <c r="O12" i="55"/>
  <c r="P12" i="55"/>
  <c r="Q12" i="55"/>
  <c r="R12" i="55"/>
  <c r="S12" i="55"/>
  <c r="N13" i="55"/>
  <c r="O13" i="55"/>
  <c r="P13" i="55"/>
  <c r="Q13" i="55"/>
  <c r="R13" i="55"/>
  <c r="S13" i="55"/>
  <c r="N14" i="55"/>
  <c r="O14" i="55"/>
  <c r="P14" i="55"/>
  <c r="Q14" i="55"/>
  <c r="N15" i="55"/>
  <c r="O15" i="55"/>
  <c r="P15" i="55"/>
  <c r="Q15" i="55"/>
  <c r="R15" i="55" s="1"/>
  <c r="S15" i="55"/>
  <c r="N16" i="55"/>
  <c r="O16" i="55"/>
  <c r="P16" i="55"/>
  <c r="Q16" i="55"/>
  <c r="R16" i="55"/>
  <c r="S16" i="55"/>
  <c r="N17" i="55"/>
  <c r="O17" i="55"/>
  <c r="P17" i="55"/>
  <c r="Q17" i="55"/>
  <c r="D13" i="54"/>
  <c r="F13" i="54"/>
  <c r="F33" i="54" s="1"/>
  <c r="G13" i="54"/>
  <c r="H13" i="54"/>
  <c r="D14" i="54"/>
  <c r="F14" i="54"/>
  <c r="G14" i="54"/>
  <c r="H14" i="54"/>
  <c r="D15" i="54"/>
  <c r="F15" i="54"/>
  <c r="G15" i="54"/>
  <c r="H15" i="54" s="1"/>
  <c r="D16" i="54"/>
  <c r="F16" i="54"/>
  <c r="G16" i="54"/>
  <c r="H16" i="54"/>
  <c r="D17" i="54"/>
  <c r="F17" i="54"/>
  <c r="G17" i="54"/>
  <c r="H17" i="54"/>
  <c r="D18" i="54"/>
  <c r="F18" i="54"/>
  <c r="G18" i="54"/>
  <c r="H18" i="54"/>
  <c r="D19" i="54"/>
  <c r="F19" i="54"/>
  <c r="G19" i="54"/>
  <c r="H19" i="54" s="1"/>
  <c r="D20" i="54"/>
  <c r="F20" i="54"/>
  <c r="G20" i="54"/>
  <c r="H20" i="54"/>
  <c r="I20" i="54"/>
  <c r="J20" i="54"/>
  <c r="D21" i="54"/>
  <c r="F21" i="54"/>
  <c r="G21" i="54"/>
  <c r="H21" i="54"/>
  <c r="I21" i="54"/>
  <c r="J21" i="54"/>
  <c r="D22" i="54"/>
  <c r="F22" i="54"/>
  <c r="G22" i="54"/>
  <c r="H22" i="54"/>
  <c r="I22" i="54"/>
  <c r="J22" i="54"/>
  <c r="D23" i="54"/>
  <c r="F23" i="54"/>
  <c r="G23" i="54"/>
  <c r="H23" i="54"/>
  <c r="I23" i="54"/>
  <c r="J23" i="54"/>
  <c r="D24" i="54"/>
  <c r="F24" i="54"/>
  <c r="G24" i="54"/>
  <c r="H24" i="54"/>
  <c r="I24" i="54"/>
  <c r="J24" i="54"/>
  <c r="D25" i="54"/>
  <c r="F25" i="54"/>
  <c r="G25" i="54"/>
  <c r="H25" i="54"/>
  <c r="I25" i="54"/>
  <c r="J25" i="54"/>
  <c r="D26" i="54"/>
  <c r="F26" i="54"/>
  <c r="G26" i="54"/>
  <c r="H26" i="54"/>
  <c r="I26" i="54"/>
  <c r="J26" i="54"/>
  <c r="D27" i="54"/>
  <c r="F27" i="54"/>
  <c r="G27" i="54"/>
  <c r="H27" i="54"/>
  <c r="I27" i="54"/>
  <c r="J27" i="54"/>
  <c r="D28" i="54"/>
  <c r="F28" i="54"/>
  <c r="G28" i="54"/>
  <c r="H28" i="54"/>
  <c r="I28" i="54"/>
  <c r="J28" i="54"/>
  <c r="D29" i="54"/>
  <c r="F29" i="54"/>
  <c r="G29" i="54"/>
  <c r="H29" i="54"/>
  <c r="I29" i="54"/>
  <c r="J29" i="54"/>
  <c r="D30" i="54"/>
  <c r="F30" i="54"/>
  <c r="G30" i="54"/>
  <c r="H30" i="54"/>
  <c r="I30" i="54"/>
  <c r="J30" i="54"/>
  <c r="D31" i="54"/>
  <c r="F31" i="54"/>
  <c r="G31" i="54"/>
  <c r="H31" i="54"/>
  <c r="I31" i="54"/>
  <c r="J31" i="54"/>
  <c r="D32" i="54"/>
  <c r="F32" i="54"/>
  <c r="G32" i="54"/>
  <c r="H32" i="54"/>
  <c r="I32" i="54"/>
  <c r="J32" i="54"/>
  <c r="D13" i="53"/>
  <c r="F13" i="53"/>
  <c r="G13" i="53"/>
  <c r="H13" i="53"/>
  <c r="I13" i="53"/>
  <c r="J13" i="53"/>
  <c r="D14" i="53"/>
  <c r="F14" i="53"/>
  <c r="G14" i="53"/>
  <c r="H14" i="53"/>
  <c r="I14" i="53"/>
  <c r="J14" i="53"/>
  <c r="D15" i="53"/>
  <c r="F15" i="53"/>
  <c r="G15" i="53"/>
  <c r="H15" i="53"/>
  <c r="I15" i="53"/>
  <c r="J15" i="53"/>
  <c r="D16" i="53"/>
  <c r="F16" i="53"/>
  <c r="G16" i="53"/>
  <c r="H16" i="53"/>
  <c r="I16" i="53"/>
  <c r="J16" i="53"/>
  <c r="D17" i="53"/>
  <c r="F17" i="53"/>
  <c r="G17" i="53"/>
  <c r="H17" i="53"/>
  <c r="I17" i="53"/>
  <c r="J17" i="53"/>
  <c r="D18" i="53"/>
  <c r="F18" i="53"/>
  <c r="G18" i="53"/>
  <c r="H18" i="53"/>
  <c r="I18" i="53"/>
  <c r="J18" i="53"/>
  <c r="D19" i="53"/>
  <c r="F19" i="53"/>
  <c r="G19" i="53"/>
  <c r="H19" i="53"/>
  <c r="I19" i="53"/>
  <c r="J19" i="53"/>
  <c r="D20" i="53"/>
  <c r="F20" i="53"/>
  <c r="G20" i="53"/>
  <c r="H20" i="53"/>
  <c r="I20" i="53"/>
  <c r="J20" i="53"/>
  <c r="D21" i="53"/>
  <c r="F21" i="53"/>
  <c r="G21" i="53"/>
  <c r="H21" i="53"/>
  <c r="I21" i="53"/>
  <c r="J21" i="53"/>
  <c r="D22" i="53"/>
  <c r="F22" i="53"/>
  <c r="G22" i="53"/>
  <c r="H22" i="53"/>
  <c r="I22" i="53"/>
  <c r="J22" i="53"/>
  <c r="D23" i="53"/>
  <c r="F23" i="53"/>
  <c r="G23" i="53"/>
  <c r="H23" i="53"/>
  <c r="I23" i="53"/>
  <c r="J23" i="53"/>
  <c r="D24" i="53"/>
  <c r="F24" i="53"/>
  <c r="G24" i="53"/>
  <c r="H24" i="53"/>
  <c r="I24" i="53"/>
  <c r="J24" i="53"/>
  <c r="D25" i="53"/>
  <c r="F25" i="53"/>
  <c r="G25" i="53"/>
  <c r="H25" i="53"/>
  <c r="I25" i="53"/>
  <c r="J25" i="53"/>
  <c r="D26" i="53"/>
  <c r="F26" i="53"/>
  <c r="G26" i="53"/>
  <c r="H26" i="53"/>
  <c r="I26" i="53"/>
  <c r="J26" i="53"/>
  <c r="D27" i="53"/>
  <c r="F27" i="53"/>
  <c r="G27" i="53"/>
  <c r="H27" i="53"/>
  <c r="I27" i="53"/>
  <c r="J27" i="53"/>
  <c r="D28" i="53"/>
  <c r="F28" i="53"/>
  <c r="G28" i="53"/>
  <c r="H28" i="53"/>
  <c r="I28" i="53"/>
  <c r="J28" i="53"/>
  <c r="D29" i="53"/>
  <c r="F29" i="53"/>
  <c r="G29" i="53"/>
  <c r="H29" i="53"/>
  <c r="I29" i="53"/>
  <c r="J29" i="53"/>
  <c r="D30" i="53"/>
  <c r="F30" i="53"/>
  <c r="G30" i="53"/>
  <c r="H30" i="53"/>
  <c r="I30" i="53"/>
  <c r="J30" i="53"/>
  <c r="D31" i="53"/>
  <c r="F31" i="53"/>
  <c r="G31" i="53"/>
  <c r="H31" i="53"/>
  <c r="I31" i="53"/>
  <c r="J31" i="53"/>
  <c r="D32" i="53"/>
  <c r="F32" i="53"/>
  <c r="G32" i="53"/>
  <c r="H32" i="53"/>
  <c r="I32" i="53"/>
  <c r="J32" i="53"/>
  <c r="C4" i="52"/>
  <c r="E4" i="52"/>
  <c r="G4" i="52"/>
  <c r="H4" i="52"/>
  <c r="C5" i="52"/>
  <c r="E5" i="52"/>
  <c r="G5" i="52"/>
  <c r="H5" i="52"/>
  <c r="C6" i="52"/>
  <c r="E6" i="52"/>
  <c r="G6" i="52"/>
  <c r="H6" i="52"/>
  <c r="C7" i="52"/>
  <c r="E7" i="52"/>
  <c r="G7" i="52"/>
  <c r="H7" i="52"/>
  <c r="C8" i="52"/>
  <c r="E8" i="52"/>
  <c r="G8" i="52"/>
  <c r="H8" i="52"/>
  <c r="C9" i="52"/>
  <c r="E9" i="52"/>
  <c r="G9" i="52"/>
  <c r="H9" i="52"/>
  <c r="C10" i="52"/>
  <c r="E10" i="52"/>
  <c r="G10" i="52"/>
  <c r="H10" i="52"/>
  <c r="C11" i="52"/>
  <c r="E11" i="52"/>
  <c r="G11" i="52"/>
  <c r="H11" i="52"/>
  <c r="C12" i="52"/>
  <c r="E12" i="52"/>
  <c r="G12" i="52"/>
  <c r="H12" i="52"/>
  <c r="C13" i="52"/>
  <c r="E13" i="52"/>
  <c r="G13" i="52"/>
  <c r="H13" i="52"/>
  <c r="H14" i="52"/>
  <c r="B23" i="52"/>
  <c r="C23" i="52"/>
  <c r="D23" i="52"/>
  <c r="B28" i="52"/>
  <c r="C28" i="52"/>
  <c r="D28" i="52"/>
  <c r="H5" i="51"/>
  <c r="H6" i="51"/>
  <c r="H7" i="51"/>
  <c r="H8" i="51"/>
  <c r="H9" i="51"/>
  <c r="M9" i="51"/>
  <c r="O9" i="51"/>
  <c r="H10" i="51"/>
  <c r="H11" i="51"/>
  <c r="H12" i="51"/>
  <c r="M12" i="51"/>
  <c r="O12" i="51"/>
  <c r="H13" i="51"/>
  <c r="H14" i="51"/>
  <c r="M15" i="51"/>
  <c r="J19" i="51"/>
  <c r="J20" i="51"/>
  <c r="J21" i="51"/>
  <c r="J22" i="51"/>
  <c r="J23" i="51"/>
  <c r="J24" i="51"/>
  <c r="J25" i="51"/>
  <c r="J26" i="51"/>
  <c r="J27" i="51"/>
  <c r="J28" i="51"/>
  <c r="J29" i="51"/>
  <c r="J30" i="51"/>
  <c r="J31" i="51"/>
  <c r="J32" i="51"/>
  <c r="J33" i="51"/>
  <c r="J34" i="51"/>
  <c r="J35" i="51"/>
  <c r="J36" i="51"/>
  <c r="J37" i="51"/>
  <c r="J38" i="51"/>
  <c r="E3" i="50"/>
  <c r="F3" i="50"/>
  <c r="G3" i="50"/>
  <c r="E4" i="50"/>
  <c r="F4" i="50"/>
  <c r="G4" i="50"/>
  <c r="E5" i="50"/>
  <c r="F5" i="50"/>
  <c r="G5" i="50" s="1"/>
  <c r="E6" i="50"/>
  <c r="F6" i="50"/>
  <c r="G6" i="50" s="1"/>
  <c r="E7" i="50"/>
  <c r="F7" i="50"/>
  <c r="E8" i="50"/>
  <c r="F8" i="50"/>
  <c r="G8" i="50"/>
  <c r="E9" i="50"/>
  <c r="F9" i="50"/>
  <c r="G9" i="50"/>
  <c r="E10" i="50"/>
  <c r="F10" i="50"/>
  <c r="G10" i="50"/>
  <c r="E11" i="50"/>
  <c r="F11" i="50"/>
  <c r="G11" i="50"/>
  <c r="J11" i="50"/>
  <c r="K11" i="50"/>
  <c r="E12" i="50"/>
  <c r="F12" i="50"/>
  <c r="G12" i="50" s="1"/>
  <c r="J12" i="50"/>
  <c r="K12" i="50"/>
  <c r="L12" i="50"/>
  <c r="E13" i="50"/>
  <c r="F13" i="50"/>
  <c r="G13" i="50"/>
  <c r="J13" i="50"/>
  <c r="K13" i="50"/>
  <c r="E14" i="50"/>
  <c r="F14" i="50"/>
  <c r="E15" i="50"/>
  <c r="J14" i="50" s="1"/>
  <c r="F15" i="50"/>
  <c r="K14" i="50" s="1"/>
  <c r="G15" i="50"/>
  <c r="E16" i="50"/>
  <c r="F16" i="50"/>
  <c r="G16" i="50" s="1"/>
  <c r="G17" i="50" s="1"/>
  <c r="E17" i="50"/>
  <c r="F17" i="50"/>
  <c r="E18" i="50"/>
  <c r="F18" i="50"/>
  <c r="K3" i="49"/>
  <c r="L3" i="49"/>
  <c r="K4" i="49"/>
  <c r="L4" i="49"/>
  <c r="M4" i="49" s="1"/>
  <c r="K5" i="49"/>
  <c r="L5" i="49"/>
  <c r="M5" i="49" s="1"/>
  <c r="K6" i="49"/>
  <c r="L6" i="49"/>
  <c r="M6" i="49" s="1"/>
  <c r="K7" i="49"/>
  <c r="L7" i="49"/>
  <c r="M7" i="49" s="1"/>
  <c r="K8" i="49"/>
  <c r="L8" i="49"/>
  <c r="M8" i="49" s="1"/>
  <c r="K9" i="49"/>
  <c r="L9" i="49"/>
  <c r="M9" i="49" s="1"/>
  <c r="K10" i="49"/>
  <c r="L10" i="49"/>
  <c r="M10" i="49" s="1"/>
  <c r="K11" i="49"/>
  <c r="L11" i="49"/>
  <c r="M11" i="49" s="1"/>
  <c r="K12" i="49"/>
  <c r="L12" i="49"/>
  <c r="M12" i="49" s="1"/>
  <c r="B3" i="48"/>
  <c r="C3" i="48"/>
  <c r="D3" i="48"/>
  <c r="B3" i="42"/>
  <c r="C3" i="42"/>
  <c r="D3" i="42"/>
  <c r="F3" i="42" s="1"/>
  <c r="E3" i="42"/>
  <c r="B4" i="42"/>
  <c r="C4" i="42"/>
  <c r="F4" i="42" s="1"/>
  <c r="D4" i="42"/>
  <c r="E4" i="42"/>
  <c r="B5" i="42"/>
  <c r="E5" i="42" s="1"/>
  <c r="C5" i="42"/>
  <c r="D5" i="42"/>
  <c r="F5" i="42" s="1"/>
  <c r="B6" i="42"/>
  <c r="E6" i="42" s="1"/>
  <c r="C6" i="42"/>
  <c r="D6" i="42"/>
  <c r="F6" i="42" s="1"/>
  <c r="B12" i="42"/>
  <c r="C12" i="42"/>
  <c r="D12" i="42"/>
  <c r="E12" i="42"/>
  <c r="B13" i="42"/>
  <c r="C13" i="42"/>
  <c r="D13" i="42"/>
  <c r="E13" i="42"/>
  <c r="B14" i="42"/>
  <c r="C14" i="42"/>
  <c r="D14" i="42"/>
  <c r="E14" i="42"/>
  <c r="B15" i="42"/>
  <c r="C15" i="42"/>
  <c r="D15" i="42"/>
  <c r="E15" i="42"/>
  <c r="C3" i="41"/>
  <c r="D3" i="41"/>
  <c r="G3" i="41"/>
  <c r="H3" i="41"/>
  <c r="C4" i="41"/>
  <c r="D4" i="41"/>
  <c r="G4" i="41"/>
  <c r="H4" i="41"/>
  <c r="C5" i="41"/>
  <c r="D5" i="41"/>
  <c r="G5" i="41"/>
  <c r="H5" i="41"/>
  <c r="C6" i="41"/>
  <c r="D6" i="41"/>
  <c r="G6" i="41"/>
  <c r="H6" i="41"/>
  <c r="I5" i="40"/>
  <c r="K5" i="40"/>
  <c r="I6" i="40"/>
  <c r="J5" i="40" s="1"/>
  <c r="K6" i="40"/>
  <c r="I7" i="40"/>
  <c r="J6" i="40" s="1"/>
  <c r="K7" i="40"/>
  <c r="I8" i="40"/>
  <c r="J7" i="40" s="1"/>
  <c r="K8" i="40"/>
  <c r="I9" i="40"/>
  <c r="J8" i="40" s="1"/>
  <c r="K9" i="40"/>
  <c r="I10" i="40"/>
  <c r="J9" i="40" s="1"/>
  <c r="K10" i="40"/>
  <c r="I11" i="40"/>
  <c r="J10" i="40" s="1"/>
  <c r="K11" i="40"/>
  <c r="I12" i="40"/>
  <c r="J11" i="40" s="1"/>
  <c r="K12" i="40"/>
  <c r="I13" i="40"/>
  <c r="J12" i="40" s="1"/>
  <c r="K13" i="40"/>
  <c r="I14" i="40"/>
  <c r="J13" i="40" s="1"/>
  <c r="J14" i="40"/>
  <c r="K14" i="40"/>
  <c r="E4" i="39"/>
  <c r="F4" i="39"/>
  <c r="G4" i="39"/>
  <c r="H4" i="39"/>
  <c r="E5" i="39"/>
  <c r="F5" i="39"/>
  <c r="G5" i="39"/>
  <c r="H5" i="39"/>
  <c r="E6" i="39"/>
  <c r="F6" i="39"/>
  <c r="G6" i="39"/>
  <c r="H6" i="39"/>
  <c r="E7" i="39"/>
  <c r="F7" i="39"/>
  <c r="G7" i="39"/>
  <c r="H7" i="39"/>
  <c r="E8" i="39"/>
  <c r="F8" i="39"/>
  <c r="G8" i="39"/>
  <c r="H8" i="39"/>
  <c r="E9" i="39"/>
  <c r="F9" i="39"/>
  <c r="G9" i="39"/>
  <c r="H9" i="39"/>
  <c r="E10" i="39"/>
  <c r="F10" i="39"/>
  <c r="G10" i="39"/>
  <c r="H10" i="39"/>
  <c r="F4" i="38"/>
  <c r="G4" i="38"/>
  <c r="H4" i="38"/>
  <c r="I4" i="38"/>
  <c r="J4" i="38"/>
  <c r="F5" i="38"/>
  <c r="G5" i="38"/>
  <c r="H5" i="38"/>
  <c r="I5" i="38"/>
  <c r="J5" i="38"/>
  <c r="F6" i="38"/>
  <c r="G6" i="38"/>
  <c r="H6" i="38"/>
  <c r="I6" i="38"/>
  <c r="J6" i="38"/>
  <c r="F7" i="38"/>
  <c r="G7" i="38"/>
  <c r="H7" i="38"/>
  <c r="I7" i="38"/>
  <c r="J7" i="38"/>
  <c r="F8" i="38"/>
  <c r="G8" i="38"/>
  <c r="H8" i="38"/>
  <c r="I8" i="38"/>
  <c r="J8" i="38"/>
  <c r="F9" i="38"/>
  <c r="G9" i="38"/>
  <c r="H9" i="38"/>
  <c r="I9" i="38"/>
  <c r="J9" i="38"/>
  <c r="G10" i="38"/>
  <c r="H10" i="38"/>
  <c r="I10" i="38"/>
  <c r="J10" i="38"/>
  <c r="E4" i="37"/>
  <c r="F4" i="37"/>
  <c r="G4" i="37"/>
  <c r="H4" i="37"/>
  <c r="E5" i="37"/>
  <c r="F5" i="37"/>
  <c r="G5" i="37"/>
  <c r="H5" i="37"/>
  <c r="E6" i="37"/>
  <c r="F6" i="37"/>
  <c r="G6" i="37"/>
  <c r="H6" i="37"/>
  <c r="E7" i="37"/>
  <c r="F7" i="37"/>
  <c r="G7" i="37"/>
  <c r="H7" i="37"/>
  <c r="E8" i="37"/>
  <c r="F8" i="37"/>
  <c r="G8" i="37"/>
  <c r="H8" i="37"/>
  <c r="E4" i="36"/>
  <c r="G4" i="36"/>
  <c r="H4" i="36"/>
  <c r="I4" i="36"/>
  <c r="E5" i="36"/>
  <c r="G5" i="36"/>
  <c r="H5" i="36"/>
  <c r="I5" i="36"/>
  <c r="E6" i="36"/>
  <c r="G6" i="36"/>
  <c r="H6" i="36"/>
  <c r="I6" i="36"/>
  <c r="E7" i="36"/>
  <c r="G7" i="36"/>
  <c r="H7" i="36"/>
  <c r="I7" i="36"/>
  <c r="E8" i="36"/>
  <c r="G8" i="36"/>
  <c r="H8" i="36"/>
  <c r="I8" i="36"/>
  <c r="E9" i="36"/>
  <c r="G9" i="36"/>
  <c r="H9" i="36"/>
  <c r="I9" i="36"/>
  <c r="G10" i="36"/>
  <c r="H10" i="36"/>
  <c r="I10" i="36"/>
  <c r="C31" i="36"/>
  <c r="D31" i="36"/>
  <c r="C32" i="36"/>
  <c r="D32" i="36"/>
  <c r="C33" i="36"/>
  <c r="D33" i="36"/>
  <c r="C34" i="36"/>
  <c r="D34" i="36"/>
  <c r="F3" i="35"/>
  <c r="G3" i="35"/>
  <c r="H3" i="35"/>
  <c r="F4" i="35"/>
  <c r="G4" i="35"/>
  <c r="H4" i="35"/>
  <c r="F5" i="35"/>
  <c r="G5" i="35"/>
  <c r="H5" i="35"/>
  <c r="F6" i="35"/>
  <c r="G6" i="35"/>
  <c r="H6" i="35"/>
  <c r="F7" i="35"/>
  <c r="G7" i="35"/>
  <c r="H7" i="35"/>
  <c r="F8" i="35"/>
  <c r="G8" i="35"/>
  <c r="H8" i="35"/>
  <c r="F9" i="35"/>
  <c r="G9" i="35"/>
  <c r="H9" i="35"/>
  <c r="F3" i="32"/>
  <c r="G3" i="32"/>
  <c r="F4" i="32"/>
  <c r="G4" i="32"/>
  <c r="H4" i="32"/>
  <c r="I4" i="32"/>
  <c r="F5" i="32"/>
  <c r="G5" i="32"/>
  <c r="H5" i="32"/>
  <c r="I5" i="32"/>
  <c r="F6" i="32"/>
  <c r="G6" i="32"/>
  <c r="H6" i="32"/>
  <c r="I6" i="32"/>
  <c r="F7" i="32"/>
  <c r="G7" i="32"/>
  <c r="H7" i="32"/>
  <c r="I7" i="32"/>
  <c r="F8" i="32"/>
  <c r="G8" i="32"/>
  <c r="H8" i="32"/>
  <c r="I8" i="32"/>
  <c r="F9" i="32"/>
  <c r="G9" i="32"/>
  <c r="H9" i="32"/>
  <c r="I9" i="32"/>
  <c r="F10" i="32"/>
  <c r="G10" i="32"/>
  <c r="H10" i="32"/>
  <c r="I10" i="32"/>
  <c r="F3" i="31"/>
  <c r="G3" i="31"/>
  <c r="H3" i="31"/>
  <c r="I3" i="31"/>
  <c r="J3" i="31"/>
  <c r="L3" i="31"/>
  <c r="M3" i="31"/>
  <c r="N3" i="31"/>
  <c r="F4" i="31"/>
  <c r="G4" i="31"/>
  <c r="H4" i="31"/>
  <c r="I4" i="31"/>
  <c r="J4" i="31"/>
  <c r="L4" i="31"/>
  <c r="M4" i="31"/>
  <c r="N4" i="31"/>
  <c r="F5" i="31"/>
  <c r="G5" i="31"/>
  <c r="H5" i="31"/>
  <c r="I5" i="31"/>
  <c r="J5" i="31"/>
  <c r="L5" i="31"/>
  <c r="M5" i="31"/>
  <c r="N5" i="31"/>
  <c r="F6" i="31"/>
  <c r="G6" i="31"/>
  <c r="H6" i="31"/>
  <c r="I6" i="31"/>
  <c r="J6" i="31"/>
  <c r="L6" i="31"/>
  <c r="M6" i="31"/>
  <c r="N6" i="31"/>
  <c r="F7" i="31"/>
  <c r="G7" i="31"/>
  <c r="H7" i="31"/>
  <c r="I7" i="31"/>
  <c r="J7" i="31"/>
  <c r="L7" i="31"/>
  <c r="M7" i="31"/>
  <c r="N7" i="31"/>
  <c r="F8" i="31"/>
  <c r="G8" i="31"/>
  <c r="H8" i="31"/>
  <c r="I8" i="31"/>
  <c r="J8" i="31"/>
  <c r="L8" i="31"/>
  <c r="M8" i="31"/>
  <c r="N8" i="31"/>
  <c r="F9" i="31"/>
  <c r="G9" i="31"/>
  <c r="H9" i="31"/>
  <c r="I9" i="31"/>
  <c r="J9" i="31"/>
  <c r="L9" i="31"/>
  <c r="M9" i="31"/>
  <c r="N9" i="31"/>
  <c r="F10" i="31"/>
  <c r="G10" i="31"/>
  <c r="H10" i="31"/>
  <c r="I10" i="31"/>
  <c r="J10" i="31"/>
  <c r="L10" i="31"/>
  <c r="M10" i="31"/>
  <c r="N10" i="31"/>
  <c r="F11" i="31"/>
  <c r="G11" i="31"/>
  <c r="H11" i="31"/>
  <c r="I11" i="31"/>
  <c r="J11" i="31"/>
  <c r="L11" i="31"/>
  <c r="M11" i="31"/>
  <c r="N11" i="31"/>
  <c r="F12" i="31"/>
  <c r="G12" i="31"/>
  <c r="H12" i="31"/>
  <c r="I12" i="31"/>
  <c r="J12" i="31"/>
  <c r="L12" i="31"/>
  <c r="M12" i="31"/>
  <c r="N12" i="31"/>
  <c r="B27" i="31"/>
  <c r="B28" i="31"/>
  <c r="B29" i="31"/>
  <c r="B30" i="31"/>
  <c r="F3" i="29"/>
  <c r="H3" i="29"/>
  <c r="I3" i="29"/>
  <c r="J3" i="29"/>
  <c r="F4" i="29"/>
  <c r="H4" i="29"/>
  <c r="I4" i="29"/>
  <c r="J4" i="29"/>
  <c r="F5" i="29"/>
  <c r="H5" i="29"/>
  <c r="I5" i="29"/>
  <c r="J5" i="29"/>
  <c r="F6" i="29"/>
  <c r="H6" i="29"/>
  <c r="I6" i="29"/>
  <c r="J6" i="29"/>
  <c r="F7" i="29"/>
  <c r="H7" i="29"/>
  <c r="I7" i="29"/>
  <c r="J7" i="29"/>
  <c r="F8" i="29"/>
  <c r="H8" i="29"/>
  <c r="I8" i="29"/>
  <c r="J8" i="29"/>
  <c r="F9" i="29"/>
  <c r="H9" i="29"/>
  <c r="I9" i="29"/>
  <c r="J9" i="29"/>
  <c r="F10" i="29"/>
  <c r="H10" i="29"/>
  <c r="I10" i="29"/>
  <c r="J10" i="29"/>
  <c r="F11" i="29"/>
  <c r="H11" i="29"/>
  <c r="I11" i="29"/>
  <c r="J11" i="29"/>
  <c r="F12" i="29"/>
  <c r="H12" i="29"/>
  <c r="I12" i="29"/>
  <c r="J12" i="29"/>
  <c r="D14" i="29"/>
  <c r="J14" i="29"/>
  <c r="D15" i="29"/>
  <c r="J15" i="29"/>
  <c r="D16" i="29"/>
  <c r="C4" i="28"/>
  <c r="E4" i="28"/>
  <c r="G4" i="28"/>
  <c r="H4" i="28"/>
  <c r="C5" i="28"/>
  <c r="E5" i="28"/>
  <c r="G5" i="28"/>
  <c r="H5" i="28"/>
  <c r="C6" i="28"/>
  <c r="E6" i="28"/>
  <c r="G6" i="28"/>
  <c r="H6" i="28"/>
  <c r="C7" i="28"/>
  <c r="E7" i="28"/>
  <c r="G7" i="28"/>
  <c r="H7" i="28"/>
  <c r="C8" i="28"/>
  <c r="E8" i="28"/>
  <c r="G8" i="28"/>
  <c r="H8" i="28"/>
  <c r="C9" i="28"/>
  <c r="E9" i="28"/>
  <c r="G9" i="28"/>
  <c r="H9" i="28"/>
  <c r="C10" i="28"/>
  <c r="E10" i="28"/>
  <c r="G10" i="28"/>
  <c r="H10" i="28"/>
  <c r="C11" i="28"/>
  <c r="E11" i="28"/>
  <c r="G11" i="28"/>
  <c r="H11" i="28"/>
  <c r="C12" i="28"/>
  <c r="E12" i="28"/>
  <c r="G12" i="28"/>
  <c r="H12" i="28" s="1"/>
  <c r="C13" i="28"/>
  <c r="E13" i="28"/>
  <c r="G13" i="28"/>
  <c r="H13" i="28"/>
  <c r="C23" i="28"/>
  <c r="B28" i="28"/>
  <c r="C28" i="28"/>
  <c r="F3" i="26"/>
  <c r="G3" i="26"/>
  <c r="H3" i="26"/>
  <c r="F4" i="26"/>
  <c r="G4" i="26"/>
  <c r="H4" i="26"/>
  <c r="F5" i="26"/>
  <c r="G5" i="26"/>
  <c r="H5" i="26"/>
  <c r="F6" i="26"/>
  <c r="G6" i="26"/>
  <c r="H6" i="26"/>
  <c r="F7" i="26"/>
  <c r="G7" i="26"/>
  <c r="H7" i="26"/>
  <c r="F8" i="26"/>
  <c r="G8" i="26"/>
  <c r="H8" i="26"/>
  <c r="G12" i="26"/>
  <c r="H14" i="26"/>
  <c r="H15" i="26"/>
  <c r="H18" i="26"/>
  <c r="F3" i="25"/>
  <c r="H3" i="25"/>
  <c r="I3" i="25"/>
  <c r="J3" i="25"/>
  <c r="K3" i="25"/>
  <c r="L3" i="25"/>
  <c r="M3" i="25"/>
  <c r="F4" i="25"/>
  <c r="H4" i="25"/>
  <c r="I4" i="25"/>
  <c r="J4" i="25" s="1"/>
  <c r="M4" i="25" s="1"/>
  <c r="K4" i="25"/>
  <c r="L4" i="25"/>
  <c r="F5" i="25"/>
  <c r="H5" i="25"/>
  <c r="I5" i="25"/>
  <c r="J5" i="25"/>
  <c r="K5" i="25"/>
  <c r="L5" i="25"/>
  <c r="M5" i="25"/>
  <c r="F6" i="25"/>
  <c r="H6" i="25"/>
  <c r="I6" i="25"/>
  <c r="J6" i="25"/>
  <c r="K6" i="25"/>
  <c r="M6" i="25" s="1"/>
  <c r="K24" i="25" s="1"/>
  <c r="L6" i="25"/>
  <c r="F7" i="25"/>
  <c r="H7" i="25"/>
  <c r="I7" i="25"/>
  <c r="J7" i="25"/>
  <c r="K7" i="25"/>
  <c r="L7" i="25"/>
  <c r="M7" i="25"/>
  <c r="F8" i="25"/>
  <c r="H8" i="25"/>
  <c r="I8" i="25"/>
  <c r="J8" i="25"/>
  <c r="K8" i="25"/>
  <c r="M8" i="25" s="1"/>
  <c r="L8" i="25"/>
  <c r="F9" i="25"/>
  <c r="H9" i="25"/>
  <c r="I9" i="25"/>
  <c r="J9" i="25"/>
  <c r="K9" i="25"/>
  <c r="M9" i="25" s="1"/>
  <c r="L9" i="25"/>
  <c r="F10" i="25"/>
  <c r="H10" i="25"/>
  <c r="I10" i="25"/>
  <c r="J10" i="25"/>
  <c r="K10" i="25"/>
  <c r="M10" i="25" s="1"/>
  <c r="K25" i="25" s="1"/>
  <c r="L10" i="25"/>
  <c r="F11" i="25"/>
  <c r="H11" i="25"/>
  <c r="I11" i="25"/>
  <c r="J11" i="25"/>
  <c r="K11" i="25"/>
  <c r="L11" i="25"/>
  <c r="M11" i="25"/>
  <c r="F12" i="25"/>
  <c r="H12" i="25"/>
  <c r="I12" i="25"/>
  <c r="J12" i="25" s="1"/>
  <c r="M12" i="25" s="1"/>
  <c r="K23" i="25" s="1"/>
  <c r="K12" i="25"/>
  <c r="L12" i="25"/>
  <c r="D19" i="25"/>
  <c r="E25" i="25"/>
  <c r="H25" i="25"/>
  <c r="K27" i="25"/>
  <c r="F4" i="23"/>
  <c r="G4" i="23"/>
  <c r="H4" i="23"/>
  <c r="I4" i="23"/>
  <c r="J4" i="23"/>
  <c r="F5" i="23"/>
  <c r="G5" i="23"/>
  <c r="H5" i="23"/>
  <c r="I5" i="23"/>
  <c r="J5" i="23"/>
  <c r="F6" i="23"/>
  <c r="G6" i="23"/>
  <c r="H6" i="23"/>
  <c r="I6" i="23"/>
  <c r="J6" i="23"/>
  <c r="F7" i="23"/>
  <c r="G7" i="23"/>
  <c r="H7" i="23"/>
  <c r="I7" i="23"/>
  <c r="J7" i="23"/>
  <c r="F8" i="23"/>
  <c r="G8" i="23"/>
  <c r="H8" i="23"/>
  <c r="I8" i="23"/>
  <c r="J8" i="23"/>
  <c r="F9" i="23"/>
  <c r="G9" i="23"/>
  <c r="H9" i="23"/>
  <c r="I9" i="23"/>
  <c r="J9" i="23"/>
  <c r="F10" i="23"/>
  <c r="G10" i="23"/>
  <c r="H10" i="23"/>
  <c r="I10" i="23"/>
  <c r="J10" i="23"/>
  <c r="F11" i="23"/>
  <c r="G11" i="23"/>
  <c r="H11" i="23"/>
  <c r="I11" i="23"/>
  <c r="J11" i="23"/>
  <c r="F12" i="23"/>
  <c r="G12" i="23"/>
  <c r="H12" i="23"/>
  <c r="I12" i="23"/>
  <c r="J12" i="23"/>
  <c r="F13" i="23"/>
  <c r="G13" i="23"/>
  <c r="H13" i="23"/>
  <c r="I13" i="23"/>
  <c r="J13" i="23"/>
  <c r="H21" i="23"/>
  <c r="I21" i="23"/>
  <c r="J21" i="23"/>
  <c r="H22" i="23"/>
  <c r="I22" i="23"/>
  <c r="J22" i="23"/>
  <c r="B43" i="23"/>
  <c r="B5" i="22"/>
  <c r="E5" i="22"/>
  <c r="F5" i="22"/>
  <c r="G5" i="22"/>
  <c r="H5" i="22"/>
  <c r="I5" i="22"/>
  <c r="B6" i="22"/>
  <c r="E6" i="22"/>
  <c r="F6" i="22"/>
  <c r="G6" i="22"/>
  <c r="H6" i="22"/>
  <c r="I6" i="22"/>
  <c r="B7" i="22"/>
  <c r="E7" i="22"/>
  <c r="F7" i="22"/>
  <c r="G7" i="22"/>
  <c r="H7" i="22"/>
  <c r="I7" i="22"/>
  <c r="G18" i="22" s="1"/>
  <c r="B8" i="22"/>
  <c r="E8" i="22"/>
  <c r="F8" i="22"/>
  <c r="G8" i="22"/>
  <c r="H8" i="22"/>
  <c r="I8" i="22"/>
  <c r="B9" i="22"/>
  <c r="E9" i="22"/>
  <c r="F9" i="22"/>
  <c r="G9" i="22" s="1"/>
  <c r="I9" i="22" s="1"/>
  <c r="H9" i="22"/>
  <c r="B10" i="22"/>
  <c r="E10" i="22"/>
  <c r="F10" i="22"/>
  <c r="G10" i="22"/>
  <c r="B11" i="22"/>
  <c r="E11" i="22"/>
  <c r="F11" i="22"/>
  <c r="B12" i="22"/>
  <c r="E12" i="22"/>
  <c r="F12" i="22"/>
  <c r="G12" i="22"/>
  <c r="H12" i="22"/>
  <c r="I12" i="22"/>
  <c r="B13" i="22"/>
  <c r="E13" i="22"/>
  <c r="F13" i="22"/>
  <c r="G13" i="22"/>
  <c r="H13" i="22"/>
  <c r="I13" i="22"/>
  <c r="H16" i="22"/>
  <c r="H17" i="22"/>
  <c r="H18" i="22"/>
  <c r="C6" i="21"/>
  <c r="D6" i="21"/>
  <c r="F6" i="21"/>
  <c r="G6" i="21"/>
  <c r="C7" i="21"/>
  <c r="D7" i="21"/>
  <c r="F7" i="21"/>
  <c r="H6" i="21" s="1"/>
  <c r="D45" i="21" s="1"/>
  <c r="G7" i="21"/>
  <c r="C8" i="21"/>
  <c r="D8" i="21"/>
  <c r="F8" i="21"/>
  <c r="H7" i="21" s="1"/>
  <c r="G8" i="21"/>
  <c r="C9" i="21"/>
  <c r="D9" i="21"/>
  <c r="F9" i="21"/>
  <c r="H8" i="21" s="1"/>
  <c r="G9" i="21"/>
  <c r="C10" i="21"/>
  <c r="D10" i="21"/>
  <c r="F10" i="21"/>
  <c r="H9" i="21" s="1"/>
  <c r="G10" i="21"/>
  <c r="C11" i="21"/>
  <c r="D11" i="21"/>
  <c r="F11" i="21"/>
  <c r="H10" i="21" s="1"/>
  <c r="G11" i="21"/>
  <c r="C12" i="21"/>
  <c r="D12" i="21"/>
  <c r="F12" i="21"/>
  <c r="H11" i="21" s="1"/>
  <c r="G12" i="21"/>
  <c r="C13" i="21"/>
  <c r="D13" i="21"/>
  <c r="F13" i="21"/>
  <c r="H12" i="21" s="1"/>
  <c r="G13" i="21"/>
  <c r="C14" i="21"/>
  <c r="D14" i="21"/>
  <c r="F14" i="21"/>
  <c r="H13" i="21" s="1"/>
  <c r="G14" i="21"/>
  <c r="C15" i="21"/>
  <c r="D15" i="21"/>
  <c r="F15" i="21"/>
  <c r="H14" i="21" s="1"/>
  <c r="G15" i="21"/>
  <c r="H15" i="21"/>
  <c r="B37" i="21"/>
  <c r="B38" i="21"/>
  <c r="D37" i="21" s="1"/>
  <c r="B39" i="21"/>
  <c r="D38" i="21" s="1"/>
  <c r="B40" i="21"/>
  <c r="D39" i="21" s="1"/>
  <c r="D40" i="21"/>
  <c r="B4" i="20"/>
  <c r="B7" i="20"/>
  <c r="C7" i="20"/>
  <c r="F7" i="20"/>
  <c r="G7" i="20"/>
  <c r="H7" i="20"/>
  <c r="B8" i="20"/>
  <c r="C8" i="20"/>
  <c r="F8" i="20"/>
  <c r="G8" i="20"/>
  <c r="H8" i="20"/>
  <c r="J8" i="20"/>
  <c r="B9" i="20"/>
  <c r="C9" i="20"/>
  <c r="F9" i="20"/>
  <c r="G9" i="20"/>
  <c r="H9" i="20"/>
  <c r="B10" i="20"/>
  <c r="C10" i="20"/>
  <c r="F10" i="20"/>
  <c r="G10" i="20"/>
  <c r="H10" i="20"/>
  <c r="B11" i="20"/>
  <c r="C11" i="20"/>
  <c r="F11" i="20"/>
  <c r="G11" i="20"/>
  <c r="H11" i="20"/>
  <c r="B12" i="20"/>
  <c r="C12" i="20"/>
  <c r="F12" i="20"/>
  <c r="G12" i="20"/>
  <c r="H12" i="20"/>
  <c r="B13" i="20"/>
  <c r="C13" i="20"/>
  <c r="F13" i="20"/>
  <c r="G13" i="20"/>
  <c r="H13" i="20"/>
  <c r="H21" i="20"/>
  <c r="H23" i="20"/>
  <c r="H25" i="20"/>
  <c r="H27" i="20"/>
  <c r="C39" i="20"/>
  <c r="E39" i="20"/>
  <c r="H39" i="20"/>
  <c r="I39" i="20"/>
  <c r="K39" i="20"/>
  <c r="C40" i="20"/>
  <c r="E40" i="20"/>
  <c r="E2" i="19"/>
  <c r="F4" i="19"/>
  <c r="G4" i="19"/>
  <c r="H4" i="19"/>
  <c r="I4" i="19"/>
  <c r="J4" i="19"/>
  <c r="K4" i="19"/>
  <c r="L4" i="19"/>
  <c r="F5" i="19"/>
  <c r="G5" i="19"/>
  <c r="H5" i="19"/>
  <c r="I5" i="19"/>
  <c r="J5" i="19"/>
  <c r="K5" i="19"/>
  <c r="L5" i="19"/>
  <c r="F6" i="19"/>
  <c r="G6" i="19"/>
  <c r="H6" i="19"/>
  <c r="I6" i="19"/>
  <c r="J6" i="19"/>
  <c r="K6" i="19"/>
  <c r="L6" i="19"/>
  <c r="F7" i="19"/>
  <c r="G7" i="19"/>
  <c r="H7" i="19"/>
  <c r="I7" i="19"/>
  <c r="J7" i="19"/>
  <c r="K7" i="19"/>
  <c r="L7" i="19"/>
  <c r="F8" i="19"/>
  <c r="G8" i="19"/>
  <c r="H8" i="19"/>
  <c r="I8" i="19"/>
  <c r="J8" i="19"/>
  <c r="K8" i="19"/>
  <c r="L8" i="19"/>
  <c r="F9" i="19"/>
  <c r="G9" i="19"/>
  <c r="H9" i="19"/>
  <c r="I9" i="19"/>
  <c r="J9" i="19"/>
  <c r="K9" i="19"/>
  <c r="L9" i="19"/>
  <c r="F10" i="19"/>
  <c r="G10" i="19"/>
  <c r="H10" i="19"/>
  <c r="I10" i="19"/>
  <c r="J10" i="19"/>
  <c r="K10" i="19"/>
  <c r="L10" i="19"/>
  <c r="F11" i="19"/>
  <c r="G11" i="19"/>
  <c r="H11" i="19"/>
  <c r="I11" i="19"/>
  <c r="J11" i="19"/>
  <c r="K11" i="19"/>
  <c r="L11" i="19"/>
  <c r="F12" i="19"/>
  <c r="G12" i="19"/>
  <c r="H12" i="19"/>
  <c r="I12" i="19"/>
  <c r="J12" i="19"/>
  <c r="K12" i="19"/>
  <c r="L12" i="19"/>
  <c r="F13" i="19"/>
  <c r="G13" i="19"/>
  <c r="H13" i="19"/>
  <c r="I13" i="19"/>
  <c r="J13" i="19"/>
  <c r="K13" i="19"/>
  <c r="L13" i="19"/>
  <c r="B6" i="18"/>
  <c r="D6" i="18"/>
  <c r="E6" i="18"/>
  <c r="F6" i="18"/>
  <c r="B7" i="18"/>
  <c r="D7" i="18"/>
  <c r="E7" i="18"/>
  <c r="F7" i="18"/>
  <c r="G7" i="18"/>
  <c r="H7" i="18"/>
  <c r="B8" i="18"/>
  <c r="D8" i="18"/>
  <c r="E8" i="18"/>
  <c r="F8" i="18"/>
  <c r="G8" i="18"/>
  <c r="H8" i="18"/>
  <c r="B9" i="18"/>
  <c r="D9" i="18"/>
  <c r="E9" i="18"/>
  <c r="F9" i="18"/>
  <c r="G9" i="18"/>
  <c r="H9" i="18"/>
  <c r="B10" i="18"/>
  <c r="D10" i="18"/>
  <c r="E10" i="18"/>
  <c r="F10" i="18"/>
  <c r="G10" i="18"/>
  <c r="H10" i="18"/>
  <c r="B11" i="18"/>
  <c r="D11" i="18"/>
  <c r="E11" i="18"/>
  <c r="F11" i="18"/>
  <c r="G11" i="18"/>
  <c r="H11" i="18"/>
  <c r="B12" i="18"/>
  <c r="D12" i="18"/>
  <c r="E12" i="18"/>
  <c r="F12" i="18"/>
  <c r="G12" i="18"/>
  <c r="H12" i="18"/>
  <c r="B13" i="18"/>
  <c r="D13" i="18"/>
  <c r="E13" i="18"/>
  <c r="F13" i="18"/>
  <c r="G13" i="18"/>
  <c r="H13" i="18"/>
  <c r="B14" i="18"/>
  <c r="D14" i="18"/>
  <c r="E14" i="18"/>
  <c r="F14" i="18"/>
  <c r="G14" i="18"/>
  <c r="H14" i="18"/>
  <c r="C6" i="17"/>
  <c r="H6" i="17"/>
  <c r="I6" i="17"/>
  <c r="J6" i="17"/>
  <c r="C7" i="17"/>
  <c r="H7" i="17"/>
  <c r="I7" i="17"/>
  <c r="J7" i="17"/>
  <c r="C8" i="17"/>
  <c r="H8" i="17"/>
  <c r="I8" i="17"/>
  <c r="J8" i="17"/>
  <c r="C9" i="17"/>
  <c r="H9" i="17"/>
  <c r="I9" i="17"/>
  <c r="J9" i="17"/>
  <c r="C10" i="17"/>
  <c r="I10" i="17"/>
  <c r="J10" i="17"/>
  <c r="C11" i="17"/>
  <c r="H11" i="17"/>
  <c r="I11" i="17"/>
  <c r="J11" i="17"/>
  <c r="C12" i="17"/>
  <c r="H12" i="17"/>
  <c r="I12" i="17"/>
  <c r="J12" i="17"/>
  <c r="C13" i="17"/>
  <c r="H13" i="17"/>
  <c r="I13" i="17"/>
  <c r="J13" i="17"/>
  <c r="C14" i="17"/>
  <c r="H14" i="17"/>
  <c r="I14" i="17"/>
  <c r="J14" i="17"/>
  <c r="C15" i="17"/>
  <c r="H15" i="17"/>
  <c r="I15" i="17"/>
  <c r="J15" i="17"/>
  <c r="G16" i="17"/>
  <c r="H16" i="17"/>
  <c r="I16" i="17"/>
  <c r="J16" i="17"/>
  <c r="K20" i="17"/>
  <c r="L20" i="17"/>
  <c r="H21" i="17"/>
  <c r="J21" i="17"/>
  <c r="H22" i="17"/>
  <c r="J22" i="17"/>
  <c r="H23" i="17"/>
  <c r="J23" i="17"/>
  <c r="H24" i="17"/>
  <c r="J24" i="17"/>
  <c r="H25" i="17"/>
  <c r="J25" i="17"/>
  <c r="D12" i="16"/>
  <c r="E12" i="16"/>
  <c r="I12" i="16"/>
  <c r="J12" i="16"/>
  <c r="K12" i="16"/>
  <c r="L12" i="16"/>
  <c r="M12" i="16"/>
  <c r="D13" i="16"/>
  <c r="E13" i="16"/>
  <c r="I13" i="16"/>
  <c r="J13" i="16"/>
  <c r="K13" i="16"/>
  <c r="L13" i="16"/>
  <c r="M13" i="16"/>
  <c r="D14" i="16"/>
  <c r="E14" i="16"/>
  <c r="I14" i="16"/>
  <c r="J14" i="16"/>
  <c r="K14" i="16"/>
  <c r="L14" i="16"/>
  <c r="M14" i="16"/>
  <c r="D15" i="16"/>
  <c r="E15" i="16"/>
  <c r="I15" i="16"/>
  <c r="J15" i="16"/>
  <c r="K15" i="16"/>
  <c r="L15" i="16"/>
  <c r="M15" i="16"/>
  <c r="D16" i="16"/>
  <c r="E16" i="16"/>
  <c r="I16" i="16"/>
  <c r="J16" i="16"/>
  <c r="K16" i="16"/>
  <c r="L16" i="16"/>
  <c r="M16" i="16"/>
  <c r="D17" i="16"/>
  <c r="E17" i="16"/>
  <c r="I17" i="16"/>
  <c r="J17" i="16"/>
  <c r="K17" i="16"/>
  <c r="L17" i="16"/>
  <c r="M17" i="16"/>
  <c r="D18" i="16"/>
  <c r="E18" i="16"/>
  <c r="I18" i="16"/>
  <c r="J18" i="16"/>
  <c r="K18" i="16"/>
  <c r="L18" i="16"/>
  <c r="M18" i="16"/>
  <c r="D19" i="16"/>
  <c r="E19" i="16"/>
  <c r="I19" i="16"/>
  <c r="J19" i="16"/>
  <c r="K19" i="16"/>
  <c r="L19" i="16"/>
  <c r="M19" i="16"/>
  <c r="D40" i="16"/>
  <c r="E40" i="16"/>
  <c r="F40" i="16"/>
  <c r="D6" i="12"/>
  <c r="E6" i="12"/>
  <c r="G6" i="12"/>
  <c r="H6" i="12" s="1"/>
  <c r="D7" i="12"/>
  <c r="E7" i="12"/>
  <c r="G7" i="12"/>
  <c r="H7" i="12" s="1"/>
  <c r="D8" i="12"/>
  <c r="E8" i="12"/>
  <c r="H8" i="12" s="1"/>
  <c r="G8" i="12"/>
  <c r="D9" i="12"/>
  <c r="E9" i="12"/>
  <c r="H9" i="12" s="1"/>
  <c r="G9" i="12"/>
  <c r="E13" i="12"/>
  <c r="E14" i="12"/>
  <c r="E15" i="12"/>
  <c r="E16" i="12"/>
  <c r="B6" i="10"/>
  <c r="C6" i="10"/>
  <c r="B7" i="10"/>
  <c r="C7" i="10"/>
  <c r="E7" i="10"/>
  <c r="F7" i="10"/>
  <c r="G7" i="10" s="1"/>
  <c r="B8" i="10"/>
  <c r="C8" i="10"/>
  <c r="E8" i="10"/>
  <c r="F8" i="10"/>
  <c r="G8" i="10"/>
  <c r="B9" i="10"/>
  <c r="C9" i="10"/>
  <c r="E9" i="10"/>
  <c r="F9" i="10"/>
  <c r="G9" i="10"/>
  <c r="B10" i="10"/>
  <c r="C10" i="10"/>
  <c r="E10" i="10"/>
  <c r="F10" i="10"/>
  <c r="G10" i="10"/>
  <c r="B11" i="10"/>
  <c r="C11" i="10"/>
  <c r="E11" i="10"/>
  <c r="F11" i="10"/>
  <c r="G11" i="10"/>
  <c r="B12" i="10"/>
  <c r="C12" i="10"/>
  <c r="E12" i="10"/>
  <c r="F12" i="10"/>
  <c r="G12" i="10"/>
  <c r="B13" i="10"/>
  <c r="C13" i="10"/>
  <c r="E13" i="10"/>
  <c r="F13" i="10"/>
  <c r="G13" i="10"/>
  <c r="G18" i="10"/>
  <c r="G19" i="10"/>
  <c r="G20" i="10"/>
  <c r="G21" i="10"/>
  <c r="G22" i="10"/>
  <c r="D5" i="9"/>
  <c r="G5" i="9"/>
  <c r="H5" i="9"/>
  <c r="I5" i="9"/>
  <c r="J5" i="9"/>
  <c r="D6" i="9"/>
  <c r="G6" i="9"/>
  <c r="H6" i="9"/>
  <c r="I6" i="9"/>
  <c r="J6" i="9"/>
  <c r="D7" i="9"/>
  <c r="G7" i="9"/>
  <c r="H7" i="9"/>
  <c r="I7" i="9"/>
  <c r="J7" i="9"/>
  <c r="D8" i="9"/>
  <c r="G8" i="9"/>
  <c r="H8" i="9"/>
  <c r="I8" i="9"/>
  <c r="J8" i="9"/>
  <c r="C5" i="15"/>
  <c r="E5" i="15"/>
  <c r="F5" i="15"/>
  <c r="G5" i="15"/>
  <c r="C6" i="15"/>
  <c r="E6" i="15"/>
  <c r="F6" i="15"/>
  <c r="G6" i="15"/>
  <c r="C7" i="15"/>
  <c r="E7" i="15"/>
  <c r="F7" i="15"/>
  <c r="G7" i="15"/>
  <c r="C8" i="15"/>
  <c r="E8" i="15"/>
  <c r="F8" i="15"/>
  <c r="G8" i="15"/>
  <c r="C9" i="15"/>
  <c r="E9" i="15"/>
  <c r="F9" i="15"/>
  <c r="G9" i="15"/>
  <c r="C10" i="15"/>
  <c r="E10" i="15"/>
  <c r="F10" i="15"/>
  <c r="G10" i="15"/>
  <c r="C11" i="15"/>
  <c r="E11" i="15"/>
  <c r="F11" i="15"/>
  <c r="G11" i="15"/>
  <c r="B5" i="8"/>
  <c r="D5" i="8"/>
  <c r="E5" i="8"/>
  <c r="F5" i="8"/>
  <c r="B6" i="8"/>
  <c r="D6" i="8"/>
  <c r="E6" i="8"/>
  <c r="F6" i="8"/>
  <c r="B7" i="8"/>
  <c r="D7" i="8"/>
  <c r="E7" i="8"/>
  <c r="F7" i="8"/>
  <c r="B8" i="8"/>
  <c r="D8" i="8"/>
  <c r="E8" i="8"/>
  <c r="F8" i="8"/>
  <c r="F9" i="8"/>
  <c r="E4" i="14"/>
  <c r="D6" i="14"/>
  <c r="E6" i="14"/>
  <c r="F6" i="14"/>
  <c r="G6" i="14"/>
  <c r="D7" i="14"/>
  <c r="E7" i="14"/>
  <c r="F7" i="14"/>
  <c r="G7" i="14"/>
  <c r="D8" i="14"/>
  <c r="E8" i="14"/>
  <c r="F8" i="14"/>
  <c r="G8" i="14"/>
  <c r="D9" i="14"/>
  <c r="E9" i="14"/>
  <c r="F9" i="14"/>
  <c r="G9" i="14"/>
  <c r="D10" i="14"/>
  <c r="E10" i="14"/>
  <c r="F10" i="14"/>
  <c r="G10" i="14"/>
  <c r="D11" i="14"/>
  <c r="E11" i="14"/>
  <c r="F11" i="14"/>
  <c r="G11" i="14"/>
  <c r="E4" i="13"/>
  <c r="F4" i="13"/>
  <c r="E5" i="13"/>
  <c r="F5" i="13"/>
  <c r="E6" i="13"/>
  <c r="F6" i="13"/>
  <c r="E7" i="13"/>
  <c r="F7" i="13"/>
  <c r="E8" i="13"/>
  <c r="F8" i="13"/>
  <c r="E9" i="13"/>
  <c r="F9" i="13"/>
  <c r="C10" i="13"/>
  <c r="D10" i="13"/>
  <c r="E10" i="13"/>
  <c r="F10" i="13"/>
  <c r="E7" i="7"/>
  <c r="F7" i="7"/>
  <c r="G7" i="7"/>
  <c r="H7" i="7"/>
  <c r="E8" i="7"/>
  <c r="F8" i="7"/>
  <c r="G8" i="7"/>
  <c r="H8" i="7"/>
  <c r="E9" i="7"/>
  <c r="F9" i="7"/>
  <c r="G9" i="7"/>
  <c r="H9" i="7"/>
  <c r="E10" i="7"/>
  <c r="F10" i="7"/>
  <c r="G10" i="7"/>
  <c r="H10" i="7"/>
  <c r="E11" i="7"/>
  <c r="F11" i="7"/>
  <c r="G11" i="7"/>
  <c r="H11" i="7"/>
  <c r="C5" i="4"/>
  <c r="D5" i="4"/>
  <c r="E5" i="4"/>
  <c r="F5" i="4"/>
  <c r="C6" i="4"/>
  <c r="D6" i="4"/>
  <c r="E6" i="4"/>
  <c r="F6" i="4"/>
  <c r="C7" i="4"/>
  <c r="D7" i="4"/>
  <c r="E7" i="4"/>
  <c r="F7" i="4"/>
  <c r="C8" i="4"/>
  <c r="D8" i="4"/>
  <c r="E8" i="4"/>
  <c r="F8" i="4"/>
  <c r="C9" i="4"/>
  <c r="D9" i="4"/>
  <c r="E9" i="4"/>
  <c r="F9" i="4"/>
  <c r="E6" i="3"/>
  <c r="E14" i="3" s="1"/>
  <c r="F6" i="3"/>
  <c r="F14" i="3" s="1"/>
  <c r="E7" i="3"/>
  <c r="F7" i="3"/>
  <c r="E8" i="3"/>
  <c r="F8" i="3"/>
  <c r="E9" i="3"/>
  <c r="F9" i="3"/>
  <c r="E10" i="3"/>
  <c r="F10" i="3"/>
  <c r="E11" i="3"/>
  <c r="F11" i="3"/>
  <c r="E12" i="3"/>
  <c r="F12" i="3"/>
  <c r="E13" i="3"/>
  <c r="F13" i="3"/>
  <c r="J3" i="2"/>
  <c r="G5" i="2"/>
  <c r="H5" i="2"/>
  <c r="I5" i="2"/>
  <c r="J5" i="2"/>
  <c r="G6" i="2"/>
  <c r="H6" i="2"/>
  <c r="I6" i="2"/>
  <c r="J6" i="2"/>
  <c r="G7" i="2"/>
  <c r="H7" i="2"/>
  <c r="I7" i="2"/>
  <c r="J7" i="2"/>
  <c r="G8" i="2"/>
  <c r="H8" i="2"/>
  <c r="I8" i="2"/>
  <c r="J8" i="2"/>
  <c r="G9" i="2"/>
  <c r="H9" i="2"/>
  <c r="I9" i="2"/>
  <c r="J9" i="2"/>
  <c r="G10" i="2"/>
  <c r="H10" i="2"/>
  <c r="I10" i="2"/>
  <c r="J10" i="2"/>
  <c r="G11" i="2"/>
  <c r="H11" i="2"/>
  <c r="I11" i="2"/>
  <c r="J11" i="2"/>
  <c r="G12" i="2"/>
  <c r="H12" i="2"/>
  <c r="I12" i="2"/>
  <c r="J12" i="2"/>
  <c r="G13" i="2"/>
  <c r="H13" i="2"/>
  <c r="I13" i="2"/>
  <c r="J13" i="2"/>
  <c r="G14" i="2"/>
  <c r="H14" i="2"/>
  <c r="I14" i="2"/>
  <c r="J14" i="2"/>
  <c r="G15" i="2"/>
  <c r="H15" i="2"/>
  <c r="I15" i="2"/>
  <c r="J15" i="2"/>
  <c r="G16" i="2"/>
  <c r="H16" i="2"/>
  <c r="I16" i="2"/>
  <c r="J16" i="2"/>
  <c r="G17" i="2"/>
  <c r="H17" i="2"/>
  <c r="I17" i="2"/>
  <c r="J17" i="2"/>
  <c r="E5" i="6"/>
  <c r="E7" i="6"/>
  <c r="F7" i="6"/>
  <c r="G7" i="6"/>
  <c r="H7" i="6"/>
  <c r="E8" i="6"/>
  <c r="F8" i="6"/>
  <c r="G8" i="6"/>
  <c r="H8" i="6"/>
  <c r="E9" i="6"/>
  <c r="F9" i="6"/>
  <c r="G9" i="6"/>
  <c r="H9" i="6"/>
  <c r="E10" i="6"/>
  <c r="F10" i="6"/>
  <c r="G10" i="6"/>
  <c r="H10" i="6"/>
  <c r="E11" i="6"/>
  <c r="F11" i="6"/>
  <c r="G11" i="6"/>
  <c r="H11" i="6"/>
  <c r="E12" i="6"/>
  <c r="F12" i="6"/>
  <c r="G12" i="6"/>
  <c r="H12" i="6"/>
  <c r="E13" i="6"/>
  <c r="F13" i="6"/>
  <c r="G13" i="6"/>
  <c r="H13" i="6"/>
  <c r="E14" i="6"/>
  <c r="F14" i="6"/>
  <c r="G14" i="6"/>
  <c r="H14" i="6"/>
  <c r="D14" i="24"/>
  <c r="E14" i="24"/>
  <c r="F14" i="24"/>
  <c r="G14" i="24"/>
  <c r="D15" i="24"/>
  <c r="E15" i="24"/>
  <c r="F15" i="24"/>
  <c r="G15" i="24"/>
  <c r="D16" i="24"/>
  <c r="E16" i="24"/>
  <c r="F16" i="24"/>
  <c r="G16" i="24"/>
  <c r="D17" i="24"/>
  <c r="E17" i="24"/>
  <c r="F17" i="24"/>
  <c r="G17" i="24"/>
  <c r="D18" i="24"/>
  <c r="E18" i="24"/>
  <c r="F18" i="24"/>
  <c r="G18" i="24"/>
  <c r="D19" i="24"/>
  <c r="E19" i="24"/>
  <c r="F19" i="24"/>
  <c r="G19" i="24"/>
  <c r="D20" i="24"/>
  <c r="E20" i="24"/>
  <c r="F20" i="24"/>
  <c r="G20" i="24"/>
  <c r="D21" i="24"/>
  <c r="E21" i="24"/>
  <c r="F21" i="24"/>
  <c r="G21" i="24"/>
  <c r="C24" i="24"/>
  <c r="D24" i="24"/>
  <c r="E24" i="24"/>
  <c r="F24" i="24"/>
  <c r="C25" i="24"/>
  <c r="D25" i="24"/>
  <c r="E25" i="24"/>
  <c r="F25" i="24"/>
  <c r="C26" i="24"/>
  <c r="D26" i="24"/>
  <c r="E26" i="24"/>
  <c r="F26" i="24"/>
  <c r="C27" i="24"/>
  <c r="D27" i="24"/>
  <c r="E27" i="24"/>
  <c r="F27" i="24"/>
  <c r="C30" i="24"/>
  <c r="D30" i="24"/>
  <c r="E30" i="24"/>
  <c r="F30" i="24"/>
  <c r="C31" i="24"/>
  <c r="D31" i="24"/>
  <c r="E31" i="24"/>
  <c r="F31" i="24"/>
  <c r="C32" i="24"/>
  <c r="D32" i="24"/>
  <c r="E32" i="24"/>
  <c r="F32" i="24"/>
  <c r="C33" i="24"/>
  <c r="D33" i="24"/>
  <c r="E33" i="24"/>
  <c r="F33" i="24"/>
  <c r="C36" i="24"/>
  <c r="D36" i="24"/>
  <c r="E36" i="24"/>
  <c r="F36" i="24"/>
  <c r="G36" i="24"/>
  <c r="H36" i="24"/>
  <c r="C37" i="24"/>
  <c r="D37" i="24"/>
  <c r="E37" i="24"/>
  <c r="F37" i="24"/>
  <c r="G37" i="24"/>
  <c r="H37" i="24"/>
  <c r="C38" i="24"/>
  <c r="D38" i="24"/>
  <c r="E38" i="24"/>
  <c r="F38" i="24"/>
  <c r="G38" i="24"/>
  <c r="H38" i="24"/>
  <c r="C39" i="24"/>
  <c r="D39" i="24"/>
  <c r="E39" i="24"/>
  <c r="F39" i="24"/>
  <c r="G39" i="24"/>
  <c r="H39" i="24"/>
  <c r="D42" i="24"/>
  <c r="E42" i="24"/>
  <c r="F42" i="24"/>
  <c r="G42" i="24"/>
  <c r="H42" i="24"/>
  <c r="D43" i="24"/>
  <c r="E43" i="24"/>
  <c r="F43" i="24"/>
  <c r="G43" i="24"/>
  <c r="H43" i="24"/>
  <c r="D44" i="24"/>
  <c r="E44" i="24"/>
  <c r="F44" i="24"/>
  <c r="G44" i="24"/>
  <c r="H44" i="24"/>
  <c r="D45" i="24"/>
  <c r="E45" i="24"/>
  <c r="F45" i="24"/>
  <c r="G45" i="24"/>
  <c r="H45" i="24"/>
  <c r="G39" i="64" l="1"/>
  <c r="E38" i="64"/>
  <c r="E41" i="64" s="1"/>
  <c r="I14" i="64"/>
  <c r="K7" i="64"/>
  <c r="K8" i="64"/>
  <c r="J14" i="64"/>
  <c r="G14" i="63"/>
  <c r="I4" i="63"/>
  <c r="I14" i="63" s="1"/>
  <c r="O21" i="57"/>
  <c r="P25" i="57"/>
  <c r="Q25" i="57"/>
  <c r="O25" i="57"/>
  <c r="M15" i="57"/>
  <c r="N15" i="57"/>
  <c r="L15" i="57"/>
  <c r="S14" i="55"/>
  <c r="R14" i="55"/>
  <c r="R17" i="55"/>
  <c r="S17" i="55"/>
  <c r="J4" i="54"/>
  <c r="J6" i="54"/>
  <c r="J7" i="54"/>
  <c r="J8" i="54"/>
  <c r="K7" i="54"/>
  <c r="J5" i="54"/>
  <c r="I13" i="54"/>
  <c r="J13" i="54" s="1"/>
  <c r="K4" i="54" s="1"/>
  <c r="I14" i="54"/>
  <c r="J14" i="54" s="1"/>
  <c r="K5" i="54" s="1"/>
  <c r="I15" i="54"/>
  <c r="J15" i="54" s="1"/>
  <c r="K6" i="54" s="1"/>
  <c r="I16" i="54"/>
  <c r="J16" i="54"/>
  <c r="I17" i="54"/>
  <c r="J17" i="54"/>
  <c r="I18" i="54"/>
  <c r="J18" i="54" s="1"/>
  <c r="K8" i="54" s="1"/>
  <c r="I19" i="54"/>
  <c r="J19" i="54"/>
  <c r="K8" i="53"/>
  <c r="J4" i="53"/>
  <c r="K4" i="53"/>
  <c r="J5" i="53"/>
  <c r="K5" i="53"/>
  <c r="J6" i="53"/>
  <c r="K6" i="53"/>
  <c r="J7" i="53"/>
  <c r="K7" i="53"/>
  <c r="J8" i="53"/>
  <c r="L11" i="50"/>
  <c r="G7" i="50"/>
  <c r="G18" i="50" s="1"/>
  <c r="L13" i="50"/>
  <c r="G14" i="50"/>
  <c r="H17" i="49"/>
  <c r="I17" i="49"/>
  <c r="B25" i="49"/>
  <c r="J17" i="49"/>
  <c r="G17" i="49"/>
  <c r="M3" i="49"/>
  <c r="G14" i="32"/>
  <c r="G15" i="32"/>
  <c r="G16" i="32"/>
  <c r="G13" i="32"/>
  <c r="H3" i="32"/>
  <c r="G12" i="32"/>
  <c r="I3" i="32"/>
  <c r="B23" i="28"/>
  <c r="H14" i="28"/>
  <c r="D23" i="28"/>
  <c r="D28" i="28"/>
  <c r="H10" i="22"/>
  <c r="I10" i="22" s="1"/>
  <c r="G17" i="22" s="1"/>
  <c r="H11" i="22"/>
  <c r="G11" i="22"/>
  <c r="J22" i="18"/>
  <c r="K22" i="18"/>
  <c r="M22" i="18"/>
  <c r="J25" i="18"/>
  <c r="C27" i="18"/>
  <c r="D27" i="18"/>
  <c r="C28" i="18"/>
  <c r="D28" i="18"/>
  <c r="L22" i="18"/>
  <c r="G6" i="18"/>
  <c r="H6" i="18" s="1"/>
  <c r="E6" i="10"/>
  <c r="F6" i="10" s="1"/>
  <c r="G6" i="10" s="1"/>
  <c r="G9" i="13"/>
  <c r="H9" i="13" s="1"/>
  <c r="G4" i="13"/>
  <c r="G5" i="13"/>
  <c r="H5" i="13" s="1"/>
  <c r="G6" i="13"/>
  <c r="H6" i="13" s="1"/>
  <c r="G7" i="13"/>
  <c r="H7" i="13" s="1"/>
  <c r="G8" i="13"/>
  <c r="H8" i="13" s="1"/>
  <c r="L14" i="50"/>
  <c r="G10" i="13" l="1"/>
  <c r="H4" i="13"/>
  <c r="H10" i="13" s="1"/>
  <c r="I11" i="22"/>
  <c r="G16" i="22" s="1"/>
  <c r="G38" i="64"/>
  <c r="G41" i="64" s="1"/>
  <c r="K14" i="64"/>
  <c r="J35" i="6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Khang</author>
  </authors>
  <commentList>
    <comment ref="L1" authorId="0" shapeId="0" xr:uid="{26C78D41-79CD-43AC-8A9F-A61902B6718F}">
      <text>
        <r>
          <rPr>
            <b/>
            <sz val="8"/>
            <color indexed="81"/>
            <rFont val="Tahoma"/>
            <family val="2"/>
            <charset val="163"/>
          </rPr>
          <t>Khang:</t>
        </r>
        <r>
          <rPr>
            <sz val="8"/>
            <color indexed="81"/>
            <rFont val="Tahoma"/>
            <family val="2"/>
            <charset val="163"/>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Nguyen Thanh Loc</author>
  </authors>
  <commentList>
    <comment ref="A2" authorId="0" shapeId="0" xr:uid="{4B1EB569-E388-4DC1-9D33-F18A004A2479}">
      <text>
        <r>
          <rPr>
            <b/>
            <sz val="26"/>
            <color indexed="81"/>
            <rFont val="Times New Roman"/>
            <family val="1"/>
          </rPr>
          <t>Từ ký tự thứ 4 của mã số trở đi là số gọi</t>
        </r>
        <r>
          <rPr>
            <sz val="8"/>
            <color indexed="81"/>
            <rFont val="Tahoma"/>
            <family val="2"/>
            <charset val="163"/>
          </rPr>
          <t xml:space="preserve">
</t>
        </r>
      </text>
    </comment>
    <comment ref="B2" authorId="0" shapeId="0" xr:uid="{E0153AD5-9599-47E2-87A4-FB032EC337AA}">
      <text>
        <r>
          <rPr>
            <b/>
            <sz val="24"/>
            <color indexed="81"/>
            <rFont val="Times New Roman"/>
            <family val="1"/>
          </rPr>
          <t>Nếu khách hàng gọi nội hạt thì đơn giá là 1500, nếu khách hàng gọi ngoại hạt thì đơn giá là 2000, nếu khách hàng gọi di động thì đơn gía tra trong bảng Đơn giá.
Nếu khách hàng gọi vào ngày chủ nhật hoặc trước 19h thì sẽ được giảm giá 10%</t>
        </r>
        <r>
          <rPr>
            <sz val="8"/>
            <color indexed="81"/>
            <rFont val="Tahoma"/>
            <family val="2"/>
            <charset val="163"/>
          </rPr>
          <t xml:space="preserve">
</t>
        </r>
      </text>
    </comment>
    <comment ref="C2" authorId="0" shapeId="0" xr:uid="{BB537F9A-D5F1-48A6-BAED-08F70D6350B0}">
      <text>
        <r>
          <rPr>
            <b/>
            <sz val="26"/>
            <color indexed="81"/>
            <rFont val="Times New Roman"/>
            <family val="1"/>
          </rPr>
          <t>Cước phí bằng
tổng số phút*Đơn giá</t>
        </r>
        <r>
          <rPr>
            <sz val="8"/>
            <color indexed="81"/>
            <rFont val="Tahoma"/>
            <family val="2"/>
            <charset val="163"/>
          </rPr>
          <t xml:space="preserve">
</t>
        </r>
      </text>
    </comment>
    <comment ref="D2" authorId="0" shapeId="0" xr:uid="{CCF390FF-E9C3-4008-90C3-D3D8EE960567}">
      <text>
        <r>
          <rPr>
            <b/>
            <sz val="26"/>
            <color indexed="81"/>
            <rFont val="Times New Roman"/>
            <family val="1"/>
          </rPr>
          <t>Nếu khách hàng gọi trên 50 phút được khuyến mãi tặng Nón, trên 60 tặng Áo</t>
        </r>
      </text>
    </comment>
    <comment ref="A3" authorId="0" shapeId="0" xr:uid="{0EA8654F-09E7-4E35-BFAB-A9806E53FF02}">
      <text>
        <r>
          <rPr>
            <b/>
            <sz val="26"/>
            <color indexed="81"/>
            <rFont val="Times New Roman"/>
            <family val="1"/>
          </rPr>
          <t>Tính bảng thống kê theo bảng</t>
        </r>
      </text>
    </comment>
    <comment ref="B3" authorId="1" shapeId="0" xr:uid="{D8242C4C-86B3-4928-A346-FA8B1BC97B31}">
      <text>
        <r>
          <rPr>
            <b/>
            <sz val="26"/>
            <color indexed="81"/>
            <rFont val="Times New Roman"/>
            <family val="1"/>
          </rPr>
          <t>Thiết lập điều kiện rút trích ra những khách hàng gọi di động trên 50 phút, kết quả hiển thị cột ngày gọi, mã số, cước phí, khuyến mãi</t>
        </r>
      </text>
    </comment>
    <comment ref="C3" authorId="1" shapeId="0" xr:uid="{1D3B923F-A42D-41CB-BC92-A119CC02C31E}">
      <text>
        <r>
          <rPr>
            <b/>
            <sz val="26"/>
            <color indexed="81"/>
            <rFont val="Times New Roman"/>
            <family val="1"/>
          </rPr>
          <t>Tổng hợp cột Cước phí theo Mã số</t>
        </r>
      </text>
    </comment>
  </commentList>
</comments>
</file>

<file path=xl/sharedStrings.xml><?xml version="1.0" encoding="utf-8"?>
<sst xmlns="http://schemas.openxmlformats.org/spreadsheetml/2006/main" count="3245" uniqueCount="1992">
  <si>
    <t>Toán A2</t>
  </si>
  <si>
    <t>Vật Lý A1</t>
  </si>
  <si>
    <t>AV1</t>
  </si>
  <si>
    <t>Tin ĐC (LT)</t>
  </si>
  <si>
    <t>Thực hành</t>
  </si>
  <si>
    <t>Nghỉ</t>
  </si>
  <si>
    <t>y</t>
  </si>
  <si>
    <t>x/y</t>
  </si>
  <si>
    <t>3xy</t>
  </si>
  <si>
    <r>
      <t>x</t>
    </r>
    <r>
      <rPr>
        <b/>
        <vertAlign val="superscript"/>
        <sz val="12"/>
        <rFont val="Times New Roman"/>
        <family val="1"/>
      </rPr>
      <t>2</t>
    </r>
    <r>
      <rPr>
        <b/>
        <sz val="12"/>
        <rFont val="Times New Roman"/>
        <family val="1"/>
      </rPr>
      <t xml:space="preserve"> + 2xy + y</t>
    </r>
    <r>
      <rPr>
        <b/>
        <vertAlign val="superscript"/>
        <sz val="12"/>
        <rFont val="Times New Roman"/>
        <family val="1"/>
      </rPr>
      <t>2</t>
    </r>
  </si>
  <si>
    <t>a</t>
  </si>
  <si>
    <t>b</t>
  </si>
  <si>
    <t>a&gt;b</t>
  </si>
  <si>
    <t>a&lt;b</t>
  </si>
  <si>
    <t>a&gt;=b</t>
  </si>
  <si>
    <t>a&lt;=b</t>
  </si>
  <si>
    <t>Mod(x,y)</t>
  </si>
  <si>
    <t>Int(x/y)</t>
  </si>
  <si>
    <t>Sqrt(x+y)</t>
  </si>
  <si>
    <t>Round(x/y,2)</t>
  </si>
  <si>
    <t>Power(x,4)</t>
  </si>
  <si>
    <t>Product(x,y)</t>
  </si>
  <si>
    <t>a)</t>
  </si>
  <si>
    <t>b)</t>
  </si>
  <si>
    <t>c)</t>
  </si>
  <si>
    <t>d)</t>
  </si>
  <si>
    <t>c</t>
  </si>
  <si>
    <t>m=a&gt;b</t>
  </si>
  <si>
    <t>n=b&gt;c</t>
  </si>
  <si>
    <t>And(m,n)</t>
  </si>
  <si>
    <t>Or(m,n)</t>
  </si>
  <si>
    <t>And(m,Or(m,n))</t>
  </si>
  <si>
    <t>Ngày:</t>
  </si>
  <si>
    <r>
      <t>(x + y)</t>
    </r>
    <r>
      <rPr>
        <b/>
        <vertAlign val="superscript"/>
        <sz val="12"/>
        <rFont val="Times New Roman"/>
        <family val="1"/>
      </rPr>
      <t>2</t>
    </r>
  </si>
  <si>
    <t>8) Hãy tính tổng cộng các cột TRỊ GIÁ, THUẾ, CƯỚC CHUYÊN CHỞ và CỘNG.</t>
  </si>
  <si>
    <t>9) Ngày: Dùng hàm lấy ra ngày, tháng, năm hiện tại.</t>
  </si>
  <si>
    <t>GIÁ TRỊ</t>
  </si>
  <si>
    <t>TÍNH</t>
  </si>
  <si>
    <t>T002</t>
  </si>
  <si>
    <t>- Từ 19 trở l6n: tặng 5 sản phẩm</t>
  </si>
  <si>
    <t>11) Thống kê như bảng sau:</t>
  </si>
  <si>
    <t>4) Khuyến mãi: Nếu hàng xuất trong khoảng từ ngày 10 đến 20 của tháng 1 thì ghi là</t>
  </si>
  <si>
    <t>9- Thống kê tổng thành tiền theo mẫu sau:</t>
  </si>
  <si>
    <t>8- Thống kê tiền phòng theo mẫu trên.</t>
  </si>
  <si>
    <t>2) Nhập, trang trí và tính toán các bài tập sau:</t>
  </si>
  <si>
    <t>6) Thống kê số lượng hàng đã bán như BẢNG THỐNG KÊ trên.</t>
  </si>
  <si>
    <t>5) Thống kê số cuộc gọi như BẢNG THỐNG KÊ trên.</t>
  </si>
  <si>
    <t>8) Thống kê theo BẢNG THỐNG KÊ trên.</t>
  </si>
  <si>
    <t>8) Thống kê số lượng theo BẢNG THỐNG KÊ trên.</t>
  </si>
  <si>
    <t>8- Thống kê như BẢNG THỐNG KÊ trên.</t>
  </si>
  <si>
    <t>L1B-F2</t>
  </si>
  <si>
    <t>Nước</t>
  </si>
  <si>
    <t>Thực phẩm</t>
  </si>
  <si>
    <t>Tên khách</t>
  </si>
  <si>
    <t>Số phòng</t>
  </si>
  <si>
    <t>Số ngày ở</t>
  </si>
  <si>
    <t>Dịch vụ</t>
  </si>
  <si>
    <t>Tên dịch vụ</t>
  </si>
  <si>
    <t>Tiền dịch vụ</t>
  </si>
  <si>
    <t>Tổng số tiền dịch vụ</t>
  </si>
  <si>
    <t>Tổng số tiền phòng</t>
  </si>
  <si>
    <t>Số tiền giảm giá</t>
  </si>
  <si>
    <t xml:space="preserve"> Thành tiền</t>
  </si>
  <si>
    <t>Lê Tấn Hùng</t>
  </si>
  <si>
    <t>Nguyễn Thị Hà</t>
  </si>
  <si>
    <t>Hà Tô Hà</t>
  </si>
  <si>
    <t>Lê Thị Thanh</t>
  </si>
  <si>
    <t>Chung Bùi Phan</t>
  </si>
  <si>
    <t>Huỳnh Thái Kham</t>
  </si>
  <si>
    <t>Phạm Thị Nhung</t>
  </si>
  <si>
    <t>Nhâm Đường</t>
  </si>
  <si>
    <t>Võ Thị Ngọc Loan</t>
  </si>
  <si>
    <t>Hà Huệ Anh</t>
  </si>
  <si>
    <t>FB</t>
  </si>
  <si>
    <t>BU</t>
  </si>
  <si>
    <t>LA</t>
  </si>
  <si>
    <t>CR</t>
  </si>
  <si>
    <t>Biểu giá phòng (Bảng 4)</t>
  </si>
  <si>
    <t>Tầng</t>
  </si>
  <si>
    <t>Biểu giá dịch vụ theo ngày (Bảng 1)</t>
  </si>
  <si>
    <t>Mã DV</t>
  </si>
  <si>
    <t>Số tiền</t>
  </si>
  <si>
    <t>Laundry</t>
  </si>
  <si>
    <t>Food &amp; Beverage</t>
  </si>
  <si>
    <t>Car Rental</t>
  </si>
  <si>
    <t>Business Center</t>
  </si>
  <si>
    <t>Bảng 2: Thống kê</t>
  </si>
  <si>
    <t>Tổng Thành tiền</t>
  </si>
  <si>
    <t>Tổng thành tiền theo tháng</t>
  </si>
  <si>
    <t>Tháng 6</t>
  </si>
  <si>
    <t>DKTANG3</t>
  </si>
  <si>
    <t>DK4</t>
  </si>
  <si>
    <t>Điều kiện T6</t>
  </si>
  <si>
    <t>ĐIỀU KIỆN QG</t>
  </si>
  <si>
    <t>LOẠI HÀNG</t>
  </si>
  <si>
    <t>T01X</t>
  </si>
  <si>
    <t>K02X</t>
  </si>
  <si>
    <t>ĐIỀU KIỆN</t>
  </si>
  <si>
    <t>LƯƠNG SP</t>
  </si>
  <si>
    <t>BHXH</t>
  </si>
  <si>
    <t>THU NHẬP</t>
  </si>
  <si>
    <t>LƯƠNG SP = SỐ LƯỢNG SP * ĐƠN GIÁ</t>
  </si>
  <si>
    <t>Điểm chuẩn</t>
  </si>
  <si>
    <t>Tổng điểm</t>
  </si>
  <si>
    <t>HB</t>
  </si>
  <si>
    <t>Có khuyến mãi</t>
  </si>
  <si>
    <t/>
  </si>
  <si>
    <t>ĐK KT 1- 3</t>
  </si>
  <si>
    <t>ĐK KT 4 -6</t>
  </si>
  <si>
    <t>ĐK TL 1 - 3</t>
  </si>
  <si>
    <t>ĐK TL 4 -6</t>
  </si>
  <si>
    <t>còn ngược lại thì Trả trước = 50% * Thành tiền.</t>
  </si>
  <si>
    <t>ĐK RÚT TRÍCH</t>
  </si>
  <si>
    <t>ĐK</t>
  </si>
  <si>
    <t xml:space="preserve">B¶ng Theo Dâi Kh¸ch Hµng </t>
  </si>
  <si>
    <t>Kh¸ch</t>
  </si>
  <si>
    <t>Sè phßng</t>
  </si>
  <si>
    <t>Ngµy ®Õn</t>
  </si>
  <si>
    <t>Ngµy ®i</t>
  </si>
  <si>
    <t>TiÒn thuª</t>
  </si>
  <si>
    <t>TiÒn gi¶m</t>
  </si>
  <si>
    <t>TiÒn ph¶i tr¶</t>
  </si>
  <si>
    <t>A01</t>
  </si>
  <si>
    <t>Hïng</t>
  </si>
  <si>
    <t>B01</t>
  </si>
  <si>
    <t>C02</t>
  </si>
  <si>
    <t>B02</t>
  </si>
  <si>
    <t>Dòng</t>
  </si>
  <si>
    <t>A02</t>
  </si>
  <si>
    <t>B¶ng gi¸ thuª phßng (VN§)</t>
  </si>
  <si>
    <t>Lo¹i</t>
  </si>
  <si>
    <t>Gi¸/ngµy</t>
  </si>
  <si>
    <t>Ngµy</t>
  </si>
  <si>
    <t>Tæng sè ng­êi ë trong ngµy 15-01-98</t>
  </si>
  <si>
    <t>Tæng sè tiÒn thu ®­îc tõ ngµy 01 ®Õn 15</t>
  </si>
  <si>
    <t>Danh s¸ch rót trÝch</t>
  </si>
  <si>
    <t>Đề 2</t>
  </si>
  <si>
    <t>Nhập và trình bày bảng tính, sau đó thực hiện các yêu cầu sau:</t>
  </si>
  <si>
    <t>1. Tính tiền thuê:</t>
  </si>
  <si>
    <t>= Số ngày ở x Giá thuê 1 ngày</t>
  </si>
  <si>
    <t>- Ký tự đầu của Số phòng cho biết loại phòng.</t>
  </si>
  <si>
    <t>2. Tính tiền giảm</t>
  </si>
  <si>
    <t>Nếu khách nào ở vào ngày 15/01/98 thì được giảm 50% tiền thuê của ngày đó.</t>
  </si>
  <si>
    <t>3. Tiền phải trả: Tiền thuê - tiền giảm</t>
  </si>
  <si>
    <t>4. Hãy cho biết:</t>
  </si>
  <si>
    <t>- Tổng số người ở trong ngày 15/01/98</t>
  </si>
  <si>
    <t>- Tổng số tiền đã thu được từ ngày 01 đến ngày 15/01/98</t>
  </si>
  <si>
    <t>5. Trích ra những người ở trong ngày 30, gồm các cột Khách, Số phòng, Ngày đến, Ngày đi, Tiền phải trả.</t>
  </si>
  <si>
    <t>6. Ghi thành tập tin với tên THIEX02.xls</t>
  </si>
  <si>
    <t>(TuÇn lÔ tõ 7®Õn 14-12-98)</t>
  </si>
  <si>
    <t>M· H§</t>
  </si>
  <si>
    <t>MÆt hµng</t>
  </si>
  <si>
    <t>§¬n vÞ</t>
  </si>
  <si>
    <t>SL­îng</t>
  </si>
  <si>
    <t>§¬n gi¸</t>
  </si>
  <si>
    <t>Thµnh tiÒn</t>
  </si>
  <si>
    <t>SD1M2</t>
  </si>
  <si>
    <t>CDM74</t>
  </si>
  <si>
    <t>SD1M4</t>
  </si>
  <si>
    <t>HDM64</t>
  </si>
  <si>
    <t>Tæng céng</t>
  </si>
  <si>
    <t>B¶ng Danh Môc</t>
  </si>
  <si>
    <t>M·</t>
  </si>
  <si>
    <t>Tªn mÆt hµng</t>
  </si>
  <si>
    <t>SM4</t>
  </si>
  <si>
    <t>§Üa mÒm 1.4Mb</t>
  </si>
  <si>
    <t xml:space="preserve">Thïng </t>
  </si>
  <si>
    <t>SM2</t>
  </si>
  <si>
    <t>§Üa mÒm 1.2Mb</t>
  </si>
  <si>
    <t>C74</t>
  </si>
  <si>
    <t>§Üa CD 740Mb</t>
  </si>
  <si>
    <t>H64</t>
  </si>
  <si>
    <t>§Üa cøng 3.2Mb</t>
  </si>
  <si>
    <t>C¸i</t>
  </si>
  <si>
    <t>Tæng sè tiÒn b¸n ®­îc cña c¸c mÆt hµng</t>
  </si>
  <si>
    <t>§Üa mÒm</t>
  </si>
  <si>
    <t>§Üa cøng</t>
  </si>
  <si>
    <t>§Üa CD</t>
  </si>
  <si>
    <t>(Dïng hµm DSUM)</t>
  </si>
  <si>
    <t>(Dïng hµm SUMIF)</t>
  </si>
  <si>
    <t>Đề 1</t>
  </si>
  <si>
    <t>1. Dựa vào ký tự đầu và 2 ký tự cuối của Mã HĐ, tìm trong bảng Danh mục để lấy tên mặt hàng, đơn vị, đơn giá.</t>
  </si>
  <si>
    <t>2. Tính thành tiền cho từng hóa đơn và tổng số tiền bán được trong tuần.</t>
  </si>
  <si>
    <t>3. Sắp xếp bảng tính theo ngày tăng dần.</t>
  </si>
  <si>
    <t>4. Định dạng ngày theo kiểu: mm/dd/yy</t>
  </si>
  <si>
    <t>5. Tính tổng số tiền bán được của các mặt hàng: Đĩa mềm, đĩa cứng, đĩa CD.</t>
  </si>
  <si>
    <t>6. Ghi tệp tập tin với tên THIEX01.xls</t>
  </si>
  <si>
    <r>
      <t xml:space="preserve">8) Định dạng bảng tính và lưu bài với tên </t>
    </r>
    <r>
      <rPr>
        <b/>
        <sz val="12"/>
        <rFont val="Times New Roman"/>
        <family val="1"/>
        <charset val="163"/>
      </rPr>
      <t>Bai7.xls</t>
    </r>
    <r>
      <rPr>
        <sz val="12"/>
        <rFont val="Times New Roman"/>
        <family val="1"/>
        <charset val="163"/>
      </rPr>
      <t>.</t>
    </r>
  </si>
  <si>
    <t>BẢNG CHI TIẾT THÔNG TIN KHÁCH HÀNG CỦA 1  KHÁCH SẠN</t>
  </si>
  <si>
    <t>Họ tên</t>
  </si>
  <si>
    <t xml:space="preserve">Ngày đến </t>
  </si>
  <si>
    <t>Số tuần</t>
  </si>
  <si>
    <t>Đơn giá tuần</t>
  </si>
  <si>
    <t>Số ngày lẻ</t>
  </si>
  <si>
    <t>Đơn giá ngày</t>
  </si>
  <si>
    <t>Tổng cộng</t>
  </si>
  <si>
    <t>Tiền phòng</t>
  </si>
  <si>
    <t>Giảm giá</t>
  </si>
  <si>
    <t>Trần Nam</t>
  </si>
  <si>
    <t>Nguyễn Thy</t>
  </si>
  <si>
    <t>L2A-F1</t>
  </si>
  <si>
    <t>Nguyễn An</t>
  </si>
  <si>
    <t>L1A-F2</t>
  </si>
  <si>
    <t>Huỳnh Bảo</t>
  </si>
  <si>
    <t>Trần Đình</t>
  </si>
  <si>
    <t>L1B-F3</t>
  </si>
  <si>
    <t>Phan Phúc</t>
  </si>
  <si>
    <t>Hà Bảo Ca</t>
  </si>
  <si>
    <t>Phạm Thành</t>
  </si>
  <si>
    <t>L2B-F3</t>
  </si>
  <si>
    <t>Lê Quốc</t>
  </si>
  <si>
    <t>L1B-F1</t>
  </si>
  <si>
    <t>Bùi Thế Sự</t>
  </si>
  <si>
    <t>BIỂU GIÁ PHÒNG</t>
  </si>
  <si>
    <t>1. Lập công thức tính số liệu cho cột tiện ăn, biết : Tiền ăn = số ngày ở* đơn giá khẩu phần ăn</t>
  </si>
  <si>
    <t>L1A</t>
  </si>
  <si>
    <t>Biết 2 ký tự cuối của Mã số là Mã Phần ăn</t>
  </si>
  <si>
    <t>L1B</t>
  </si>
  <si>
    <t>HD: Dùng hàm Hlookup, với trị dò là Mã Phần An, bảng dò là biểu giá khẩu phần ăn</t>
  </si>
  <si>
    <t>L2A</t>
  </si>
  <si>
    <t xml:space="preserve">2. Thêm cột Số Tuần vào bên trái cột Đơn giá tuần. Lập công thức cho cột số tuần, </t>
  </si>
  <si>
    <t>L2B</t>
  </si>
  <si>
    <t>biết số tuần là số ngày ở được đổi ra tuần lễ tuần lễ (không tính các ngày lẻ)</t>
  </si>
  <si>
    <t>HD: Dùng hàm Int hoặc Trunc để bỏ phần lẻ sau khi chia số ngày ở cho 7</t>
  </si>
  <si>
    <t>BIỂU GIÁ KHẨU PHẦN ĂN</t>
  </si>
  <si>
    <t>3. Lập công thức cho cột Đơn Giá Tuần</t>
  </si>
  <si>
    <t>Mã phần ăn</t>
  </si>
  <si>
    <t>HD: Dùng hàm Vlookup với trị dò là 3 ký tự đầu bên trái của Mã số, Bảng dò là Biểu giá phòng</t>
  </si>
  <si>
    <t>4. Thêm cột số ngày lẻ vào bên trái cột Đơn giá ngày. Lập công thức cho cột số ngày lẻ biết</t>
  </si>
  <si>
    <t>Số ngày lẻ là số ngày ở còn lại sau khi đã đổi ra tuần</t>
  </si>
  <si>
    <t>HD: Dùng hàm Mod lấy về số dư  của phép chia số ngày ở cho 7</t>
  </si>
  <si>
    <t>5. Lập công thức cho cột Đơn giá ngày</t>
  </si>
  <si>
    <t>6. Chèn thêm cột tiền phòng vào bên trái cột tổng cộng</t>
  </si>
  <si>
    <t>Tính Tiền phòng = Đơn giá tuần* Số Tuần + Đơn giá ngày * Số ngày lẻ</t>
  </si>
  <si>
    <t>7. Thêm cột giảm giá vào bên trái cột tổng cộng. Tính Cột giảm giá biết</t>
  </si>
  <si>
    <t>Nếu số ngày ở từ 15 ngày trở lên thì giảm giá 5% Tiền phòng</t>
  </si>
  <si>
    <t>8. Tính cột tổng cộng bằng = Tiền ăn + Tiền Phòng - Giảm Giá</t>
  </si>
  <si>
    <t>9. Lập công thức tính doanh thu theo từng phòng ở Bảng Thống kê</t>
  </si>
  <si>
    <t>HD: Dùng hàm sumif</t>
  </si>
  <si>
    <t xml:space="preserve">Kết Quả Thi Cuối Khóa        </t>
  </si>
  <si>
    <t>Họ và tên</t>
  </si>
  <si>
    <t>Windows</t>
  </si>
  <si>
    <t>Word</t>
  </si>
  <si>
    <t>Excel</t>
  </si>
  <si>
    <t>Điểm 
thêm</t>
  </si>
  <si>
    <t>Xếp
loại</t>
  </si>
  <si>
    <t>Nguyễn Hoàng Phương</t>
  </si>
  <si>
    <t>Nguyễn Duy Dương</t>
  </si>
  <si>
    <t>D003</t>
  </si>
  <si>
    <t>Hoàng Quốc Bảo</t>
  </si>
  <si>
    <t>T004</t>
  </si>
  <si>
    <t>Võ Quốc Việt</t>
  </si>
  <si>
    <t>D005</t>
  </si>
  <si>
    <t>Hoàng Bảo Trị</t>
  </si>
  <si>
    <t>K006</t>
  </si>
  <si>
    <t>Bùi Đăng Khoa</t>
  </si>
  <si>
    <t>K007</t>
  </si>
  <si>
    <t>Vũ Thị Thu Hà</t>
  </si>
  <si>
    <t>T008</t>
  </si>
  <si>
    <t>Nguyễn Thị Kim Loan</t>
  </si>
  <si>
    <t xml:space="preserve">Bảng Điểm Thêm  </t>
  </si>
  <si>
    <t>Số thí sinh đậu</t>
  </si>
  <si>
    <t>Điểm Cộng Thêm</t>
  </si>
  <si>
    <t>Số thí sinh rớt</t>
  </si>
  <si>
    <t>Số thí sinh có điểm trung bình &gt;8</t>
  </si>
  <si>
    <t>Điểm trung bình thấp nhất</t>
  </si>
  <si>
    <t>Người có điểm trung bình cao nhất</t>
  </si>
  <si>
    <t>a. Tính Điểm Trung Bình biết rằng Mơn Excel nhn hệ số 2</t>
  </si>
  <si>
    <t xml:space="preserve">b. Chèn thêm cột điểm thêm bên trái cột Kết Quả. Điền vào cột Điểm </t>
  </si>
  <si>
    <t>Thêm dựa vào kí tự vào kí tự đầu của Mã Dò trong bảng Điểm Thêm.</t>
  </si>
  <si>
    <t>c. Tổng Điểm = Điểm Trung Bình + Điểm Thêm</t>
  </si>
  <si>
    <t>d. Xếp Loại. Nếu Điểm Trung Bình (ĐTB) &gt;=8 xếp "Giỏi", nếu 8&gt;ĐTB&gt;=6 "Khá",</t>
  </si>
  <si>
    <t>nếu 6&gt;ĐTB&gt;= "TB", Nếu 5&gt;ĐTB xếp "Yếu"</t>
  </si>
  <si>
    <t>Họ lót</t>
  </si>
  <si>
    <t xml:space="preserve">Thưởng </t>
  </si>
  <si>
    <t>Cao Văn Cốt</t>
  </si>
  <si>
    <t>Bùi Thị Béo</t>
  </si>
  <si>
    <t>Đỗ Văn Đậu</t>
  </si>
  <si>
    <t>Nguyễn Văn Cam</t>
  </si>
  <si>
    <t>Bạch Thị Tạng</t>
  </si>
  <si>
    <t>Phạm Thị Luật</t>
  </si>
  <si>
    <t>Tạ Văn Tốn</t>
  </si>
  <si>
    <t>Lâm Văn Tặc</t>
  </si>
  <si>
    <t>Lương cao nhất</t>
  </si>
  <si>
    <t>Số người làm hơn 22 ngày</t>
  </si>
  <si>
    <t>Lương trung b́nh</t>
  </si>
  <si>
    <t>Số người có lương hơn 1,000,000</t>
  </si>
  <si>
    <t>Lương thấp nhất</t>
  </si>
  <si>
    <t>1. Tính cột Lứơng Tháng = Lương ngày*số ngày công</t>
  </si>
  <si>
    <t>2. Lập công thức cho cột thưởng, với mức thưởng được ấn định như sau:</t>
  </si>
  <si>
    <t xml:space="preserve">Nếu số ngày công &gt;=25: Thưởng 20%* Lương Tháng </t>
  </si>
  <si>
    <t xml:space="preserve">Nếu số ngày công &gt;=22: Thưởng 10%* Lương Tháng </t>
  </si>
  <si>
    <t>Nếu số ngày công &lt;22 :Không Thưởng</t>
  </si>
  <si>
    <t>HD: Dùng hàm if(số ngày công &gt; 25,25%*Lương tháng,if(…))</t>
  </si>
  <si>
    <t>3.Lập công thức cho cột phụ cấp chức vụ, biết rằng:</t>
  </si>
  <si>
    <t>Nếu chức vụ là GĐ: 250,000   PGĐ:200,000  TP:180,000 NV: 150,000</t>
  </si>
  <si>
    <t>4. Tính cột Lương= Lương tháng +Thưởng + Phụ cấp chức vụ</t>
  </si>
  <si>
    <t>5. Lập công thức lấy số liệu cho các ô tổng cộng, Lương cao nhất, thấp nhất, trung b́nh</t>
  </si>
  <si>
    <t>HD: Dùng hàm Countif</t>
  </si>
  <si>
    <t>SL</t>
  </si>
  <si>
    <t>Phí VC</t>
  </si>
  <si>
    <t>KG</t>
  </si>
  <si>
    <t xml:space="preserve">CHUÏC </t>
  </si>
  <si>
    <t xml:space="preserve">HOÄP </t>
  </si>
  <si>
    <t xml:space="preserve">BẢNG CHIẾT TÍNH GIÁ THÀNH </t>
  </si>
  <si>
    <t>Tên mặt hàng</t>
  </si>
  <si>
    <t>ĐVT</t>
  </si>
  <si>
    <t xml:space="preserve">ĐG Nhập </t>
  </si>
  <si>
    <t xml:space="preserve">Thành tiền </t>
  </si>
  <si>
    <t xml:space="preserve">ĐG Xuất </t>
  </si>
  <si>
    <t xml:space="preserve">ĐƯỜNG </t>
  </si>
  <si>
    <t xml:space="preserve">TRỨNG </t>
  </si>
  <si>
    <t xml:space="preserve">BƠ </t>
  </si>
  <si>
    <t xml:space="preserve">SỮA </t>
  </si>
  <si>
    <t xml:space="preserve">MUỐI </t>
  </si>
  <si>
    <t xml:space="preserve">GẠO </t>
  </si>
  <si>
    <t xml:space="preserve">BỘT </t>
  </si>
  <si>
    <t>1. Lập công thức cho cột phí vạn chuyển (Phí VC), biết rằng</t>
  </si>
  <si>
    <t>Phí VC = (ĐC Nhập *SL)*5%</t>
  </si>
  <si>
    <t>2. Lập công thức cho cột thành tiền biết:</t>
  </si>
  <si>
    <t>Thành tiền = ĐG Nhập*SL+Phí VC</t>
  </si>
  <si>
    <t>3. Lập công thức cho cột ĐG Xuất  để có mức lời là 10%</t>
  </si>
  <si>
    <t>HD: ĐG Xuất = (Thành Tiền + 10%*ThànhTiền)/Số Lượng</t>
  </si>
  <si>
    <t>4. Định dạng các ô chứa trị dạng số: không có số lẻ và có dấu phân cách phần nghìn</t>
  </si>
  <si>
    <t>Bảng 1</t>
  </si>
  <si>
    <t>BẢNG THEO DÕI CUỘC GỌI</t>
  </si>
  <si>
    <t>Ngày
Gọi</t>
  </si>
  <si>
    <t>Thời Gian
Bắt Đầu</t>
  </si>
  <si>
    <t>Thời Gian
Kết Thúc</t>
  </si>
  <si>
    <t>Số
Phút</t>
  </si>
  <si>
    <t>Hình Thức
gọi</t>
  </si>
  <si>
    <t>Thành
Tiền</t>
  </si>
  <si>
    <t>Tiền
Giảm</t>
  </si>
  <si>
    <t>Phải
Trả</t>
  </si>
  <si>
    <t>NT</t>
  </si>
  <si>
    <t>Tổng Cộng</t>
  </si>
  <si>
    <t>Kết Quả Tham Khảo</t>
  </si>
  <si>
    <t>Bảng 2</t>
  </si>
  <si>
    <t>BẢNG TRA GIÁ CƯỚC CUỘC GỌI</t>
  </si>
  <si>
    <t>Hình Thức Gọi</t>
  </si>
  <si>
    <t>Diễn Giải</t>
  </si>
  <si>
    <t>Đơn Giá (đ/phút)</t>
  </si>
  <si>
    <t>Nội Tỉnh</t>
  </si>
  <si>
    <t>Liên Tỉnh</t>
  </si>
  <si>
    <t>Di Động</t>
  </si>
  <si>
    <t>Yêu Cầu</t>
  </si>
  <si>
    <t>Câu 1</t>
  </si>
  <si>
    <r>
      <t xml:space="preserve">Tính </t>
    </r>
    <r>
      <rPr>
        <b/>
        <sz val="12"/>
        <color indexed="18"/>
        <rFont val="Times New Roman"/>
        <family val="1"/>
      </rPr>
      <t>Số Phút</t>
    </r>
    <r>
      <rPr>
        <sz val="12"/>
        <rFont val="Times New Roman"/>
        <family val="1"/>
      </rPr>
      <t xml:space="preserve"> cho mỗi cuộc gọi, biết rằng </t>
    </r>
    <r>
      <rPr>
        <b/>
        <sz val="12"/>
        <color indexed="18"/>
        <rFont val="Times New Roman"/>
        <family val="1"/>
      </rPr>
      <t>Số Phút</t>
    </r>
    <r>
      <rPr>
        <sz val="12"/>
        <rFont val="Times New Roman"/>
        <family val="1"/>
      </rPr>
      <t xml:space="preserve"> được tính bằng </t>
    </r>
    <r>
      <rPr>
        <b/>
        <sz val="12"/>
        <color indexed="10"/>
        <rFont val="Times New Roman"/>
        <family val="1"/>
      </rPr>
      <t>Thời Gian Kết Thúc</t>
    </r>
    <r>
      <rPr>
        <sz val="12"/>
        <rFont val="Times New Roman"/>
        <family val="1"/>
      </rPr>
      <t xml:space="preserve"> - </t>
    </r>
    <r>
      <rPr>
        <b/>
        <sz val="12"/>
        <color indexed="12"/>
        <rFont val="Times New Roman"/>
        <family val="1"/>
      </rPr>
      <t>Thời Gian Bắt Đầu</t>
    </r>
  </si>
  <si>
    <r>
      <t xml:space="preserve">và </t>
    </r>
    <r>
      <rPr>
        <i/>
        <sz val="12"/>
        <color indexed="56"/>
        <rFont val="Times New Roman"/>
        <family val="1"/>
      </rPr>
      <t>số giây lẻ &gt;30 thì tính thêm 1 phút</t>
    </r>
  </si>
  <si>
    <t>Ví dụ:</t>
  </si>
  <si>
    <r>
      <t xml:space="preserve">   - Bắt đầu gọi lúc: </t>
    </r>
    <r>
      <rPr>
        <b/>
        <sz val="12"/>
        <color indexed="10"/>
        <rFont val="Times New Roman"/>
        <family val="1"/>
      </rPr>
      <t>13:02:01</t>
    </r>
    <r>
      <rPr>
        <sz val="12"/>
        <rFont val="Times New Roman"/>
        <family val="1"/>
      </rPr>
      <t xml:space="preserve"> và Kết thúc lúc: </t>
    </r>
    <r>
      <rPr>
        <b/>
        <sz val="12"/>
        <color indexed="12"/>
        <rFont val="Times New Roman"/>
        <family val="1"/>
      </rPr>
      <t>13:04:58</t>
    </r>
    <r>
      <rPr>
        <sz val="12"/>
        <rFont val="Times New Roman"/>
        <family val="1"/>
      </rPr>
      <t xml:space="preserve"> thì tính là: </t>
    </r>
    <r>
      <rPr>
        <sz val="12"/>
        <color indexed="56"/>
        <rFont val="Times New Roman"/>
        <family val="1"/>
      </rPr>
      <t>3 phút</t>
    </r>
  </si>
  <si>
    <r>
      <t xml:space="preserve">   - Bắt đầu gọi lúc: </t>
    </r>
    <r>
      <rPr>
        <b/>
        <sz val="12"/>
        <color indexed="10"/>
        <rFont val="Times New Roman"/>
        <family val="1"/>
      </rPr>
      <t>14:20:37</t>
    </r>
    <r>
      <rPr>
        <sz val="12"/>
        <rFont val="Times New Roman"/>
        <family val="1"/>
      </rPr>
      <t xml:space="preserve"> và Kết thúc lúc: </t>
    </r>
    <r>
      <rPr>
        <b/>
        <sz val="12"/>
        <color indexed="12"/>
        <rFont val="Times New Roman"/>
        <family val="1"/>
      </rPr>
      <t>14:25:27</t>
    </r>
    <r>
      <rPr>
        <sz val="12"/>
        <rFont val="Times New Roman"/>
        <family val="1"/>
      </rPr>
      <t xml:space="preserve"> thì tính là  : </t>
    </r>
    <r>
      <rPr>
        <sz val="12"/>
        <color indexed="18"/>
        <rFont val="Times New Roman"/>
        <family val="1"/>
      </rPr>
      <t>5 phút</t>
    </r>
  </si>
  <si>
    <t>Câu 2</t>
  </si>
  <si>
    <r>
      <t xml:space="preserve">Tính </t>
    </r>
    <r>
      <rPr>
        <b/>
        <sz val="12"/>
        <color indexed="10"/>
        <rFont val="Times New Roman"/>
        <family val="1"/>
      </rPr>
      <t xml:space="preserve">Thành Tiền </t>
    </r>
    <r>
      <rPr>
        <sz val="12"/>
        <rFont val="Times New Roman"/>
        <family val="1"/>
      </rPr>
      <t xml:space="preserve"> = </t>
    </r>
    <r>
      <rPr>
        <b/>
        <sz val="12"/>
        <color indexed="12"/>
        <rFont val="Times New Roman"/>
        <family val="1"/>
      </rPr>
      <t>Số Phút *</t>
    </r>
    <r>
      <rPr>
        <sz val="12"/>
        <rFont val="Times New Roman"/>
        <family val="1"/>
      </rPr>
      <t xml:space="preserve"> </t>
    </r>
    <r>
      <rPr>
        <b/>
        <sz val="12"/>
        <color indexed="18"/>
        <rFont val="Times New Roman"/>
        <family val="1"/>
      </rPr>
      <t xml:space="preserve">Đơn Giá </t>
    </r>
    <r>
      <rPr>
        <sz val="12"/>
        <rFont val="Times New Roman"/>
        <family val="1"/>
      </rPr>
      <t xml:space="preserve">trong đó </t>
    </r>
    <r>
      <rPr>
        <b/>
        <sz val="12"/>
        <color indexed="18"/>
        <rFont val="Times New Roman"/>
        <family val="1"/>
      </rPr>
      <t>Đơn Giá</t>
    </r>
    <r>
      <rPr>
        <sz val="12"/>
        <rFont val="Times New Roman"/>
        <family val="1"/>
      </rPr>
      <t xml:space="preserve"> cho mỗi cuộc gọi thì dựa vào </t>
    </r>
    <r>
      <rPr>
        <b/>
        <sz val="12"/>
        <color indexed="12"/>
        <rFont val="Times New Roman"/>
        <family val="1"/>
      </rPr>
      <t xml:space="preserve">Hình Thức Gọi </t>
    </r>
  </si>
  <si>
    <r>
      <t xml:space="preserve">ở </t>
    </r>
    <r>
      <rPr>
        <b/>
        <sz val="12"/>
        <color indexed="20"/>
        <rFont val="Times New Roman"/>
        <family val="1"/>
      </rPr>
      <t>Bảng 1</t>
    </r>
    <r>
      <rPr>
        <sz val="12"/>
        <rFont val="Times New Roman"/>
        <family val="1"/>
      </rPr>
      <t xml:space="preserve"> và tra ở </t>
    </r>
    <r>
      <rPr>
        <b/>
        <sz val="12"/>
        <color indexed="18"/>
        <rFont val="Times New Roman"/>
        <family val="1"/>
      </rPr>
      <t>Bảng 2</t>
    </r>
  </si>
  <si>
    <t>Câu 3</t>
  </si>
  <si>
    <r>
      <t xml:space="preserve">Tính </t>
    </r>
    <r>
      <rPr>
        <b/>
        <sz val="12"/>
        <color indexed="16"/>
        <rFont val="Times New Roman"/>
        <family val="1"/>
      </rPr>
      <t xml:space="preserve">Tiền Giảm </t>
    </r>
    <r>
      <rPr>
        <sz val="12"/>
        <rFont val="Times New Roman"/>
        <family val="1"/>
      </rPr>
      <t xml:space="preserve">cho mỗi cuộc gọi biết rằng nếu gọi vào ngày </t>
    </r>
    <r>
      <rPr>
        <b/>
        <sz val="12"/>
        <color indexed="10"/>
        <rFont val="Times New Roman"/>
        <family val="1"/>
      </rPr>
      <t>Thứ Bảy</t>
    </r>
    <r>
      <rPr>
        <sz val="12"/>
        <rFont val="Times New Roman"/>
        <family val="1"/>
      </rPr>
      <t xml:space="preserve"> hoặc </t>
    </r>
    <r>
      <rPr>
        <b/>
        <sz val="12"/>
        <color indexed="20"/>
        <rFont val="Times New Roman"/>
        <family val="1"/>
      </rPr>
      <t xml:space="preserve">Chủ Nhật </t>
    </r>
    <r>
      <rPr>
        <sz val="12"/>
        <rFont val="Times New Roman"/>
        <family val="1"/>
      </rPr>
      <t xml:space="preserve">thì </t>
    </r>
  </si>
  <si>
    <r>
      <t xml:space="preserve">được giảm </t>
    </r>
    <r>
      <rPr>
        <i/>
        <sz val="12"/>
        <color indexed="20"/>
        <rFont val="Times New Roman"/>
        <family val="1"/>
      </rPr>
      <t>10% Thành Tiền</t>
    </r>
    <r>
      <rPr>
        <sz val="12"/>
        <rFont val="Times New Roman"/>
        <family val="1"/>
      </rPr>
      <t>, còn gọi vào các ngày khác thì không giảm.</t>
    </r>
  </si>
  <si>
    <t>Câu 4</t>
  </si>
  <si>
    <r>
      <t xml:space="preserve">Tính </t>
    </r>
    <r>
      <rPr>
        <b/>
        <sz val="12"/>
        <color indexed="20"/>
        <rFont val="Times New Roman"/>
        <family val="1"/>
      </rPr>
      <t xml:space="preserve">Phải Trả </t>
    </r>
    <r>
      <rPr>
        <sz val="12"/>
        <rFont val="Times New Roman"/>
        <family val="1"/>
      </rPr>
      <t xml:space="preserve">= </t>
    </r>
    <r>
      <rPr>
        <b/>
        <sz val="12"/>
        <color indexed="60"/>
        <rFont val="Times New Roman"/>
        <family val="1"/>
      </rPr>
      <t>Thành Tiền</t>
    </r>
    <r>
      <rPr>
        <sz val="12"/>
        <rFont val="Times New Roman"/>
        <family val="1"/>
      </rPr>
      <t xml:space="preserve"> - </t>
    </r>
    <r>
      <rPr>
        <b/>
        <sz val="12"/>
        <color indexed="48"/>
        <rFont val="Times New Roman"/>
        <family val="1"/>
      </rPr>
      <t>Tiền Giảm</t>
    </r>
  </si>
  <si>
    <t>Câu 5</t>
  </si>
  <si>
    <r>
      <t xml:space="preserve">Hoàn thành </t>
    </r>
    <r>
      <rPr>
        <b/>
        <sz val="12"/>
        <color indexed="56"/>
        <rFont val="Times New Roman"/>
        <family val="1"/>
      </rPr>
      <t xml:space="preserve">Bảng Thống Kê </t>
    </r>
    <r>
      <rPr>
        <sz val="12"/>
        <rFont val="Times New Roman"/>
        <family val="1"/>
      </rPr>
      <t>sau :</t>
    </r>
  </si>
  <si>
    <t>Hình Thức
Gọi</t>
  </si>
  <si>
    <t>Tổng Số
Phút Gọi</t>
  </si>
  <si>
    <t>Tổng Số Tiền
Phải Trả</t>
  </si>
  <si>
    <t>Kết Quả
Tham Khảo</t>
  </si>
  <si>
    <t>BẢNG TÍNH TIỀN THUÊ XE</t>
  </si>
  <si>
    <t>Quy Đổi</t>
  </si>
  <si>
    <t>Tên Khách</t>
  </si>
  <si>
    <t>Ngày Thuê</t>
  </si>
  <si>
    <t>Ngày Trả</t>
  </si>
  <si>
    <t>Số Ngày Thuê</t>
  </si>
  <si>
    <t>Số Tuần</t>
  </si>
  <si>
    <t>Số Ngày Lẽ</t>
  </si>
  <si>
    <t>Phải Trả</t>
  </si>
  <si>
    <t>Giao</t>
  </si>
  <si>
    <t>Vy</t>
  </si>
  <si>
    <t>TỔNG CỘNG</t>
  </si>
  <si>
    <t>ĐƠN GIÁ THUÊ</t>
  </si>
  <si>
    <t>TUẦN</t>
  </si>
  <si>
    <r>
      <t xml:space="preserve">Tính </t>
    </r>
    <r>
      <rPr>
        <b/>
        <sz val="12"/>
        <color indexed="60"/>
        <rFont val="Times New Roman"/>
        <family val="1"/>
      </rPr>
      <t>Số Ngày Thuê Xe</t>
    </r>
    <r>
      <rPr>
        <sz val="12"/>
        <rFont val="Times New Roman"/>
        <family val="1"/>
      </rPr>
      <t xml:space="preserve"> = </t>
    </r>
    <r>
      <rPr>
        <b/>
        <sz val="12"/>
        <color indexed="10"/>
        <rFont val="Times New Roman"/>
        <family val="1"/>
      </rPr>
      <t xml:space="preserve">Ngày Trả </t>
    </r>
    <r>
      <rPr>
        <sz val="12"/>
        <rFont val="Times New Roman"/>
        <family val="1"/>
      </rPr>
      <t xml:space="preserve">- </t>
    </r>
    <r>
      <rPr>
        <b/>
        <sz val="12"/>
        <color indexed="10"/>
        <rFont val="Times New Roman"/>
        <family val="1"/>
      </rPr>
      <t>Ngày Thuê</t>
    </r>
    <r>
      <rPr>
        <sz val="12"/>
        <rFont val="Times New Roman"/>
        <family val="1"/>
      </rPr>
      <t>.</t>
    </r>
  </si>
  <si>
    <r>
      <t xml:space="preserve">Hãy quy đổi </t>
    </r>
    <r>
      <rPr>
        <b/>
        <sz val="12"/>
        <color indexed="16"/>
        <rFont val="Times New Roman"/>
        <family val="1"/>
      </rPr>
      <t>Số Ngày Thuê</t>
    </r>
    <r>
      <rPr>
        <sz val="12"/>
        <rFont val="Times New Roman"/>
        <family val="1"/>
      </rPr>
      <t xml:space="preserve"> thành </t>
    </r>
    <r>
      <rPr>
        <b/>
        <sz val="12"/>
        <color indexed="12"/>
        <rFont val="Times New Roman"/>
        <family val="1"/>
      </rPr>
      <t>Số Tuần</t>
    </r>
    <r>
      <rPr>
        <sz val="12"/>
        <rFont val="Times New Roman"/>
        <family val="1"/>
      </rPr>
      <t xml:space="preserve"> và </t>
    </r>
    <r>
      <rPr>
        <b/>
        <sz val="12"/>
        <color indexed="12"/>
        <rFont val="Times New Roman"/>
        <family val="1"/>
      </rPr>
      <t>Số Ngày Lễ</t>
    </r>
  </si>
  <si>
    <t>Ví dụ : Nếu Số Ngày Thuê là 10 ngày thì quy đổi thành 1 tuần và 3 ngày lẻ</t>
  </si>
  <si>
    <r>
      <t xml:space="preserve">Tính giá trị cho cột </t>
    </r>
    <r>
      <rPr>
        <b/>
        <sz val="12"/>
        <color indexed="10"/>
        <rFont val="Times New Roman"/>
        <family val="1"/>
      </rPr>
      <t>Phải Trả</t>
    </r>
    <r>
      <rPr>
        <sz val="12"/>
        <rFont val="Times New Roman"/>
        <family val="1"/>
      </rPr>
      <t xml:space="preserve"> biết rằng </t>
    </r>
    <r>
      <rPr>
        <b/>
        <sz val="12"/>
        <color indexed="10"/>
        <rFont val="Times New Roman"/>
        <family val="1"/>
      </rPr>
      <t>Phải Trả</t>
    </r>
    <r>
      <rPr>
        <sz val="12"/>
        <rFont val="Times New Roman"/>
        <family val="1"/>
      </rPr>
      <t xml:space="preserve"> = </t>
    </r>
    <r>
      <rPr>
        <b/>
        <sz val="12"/>
        <color indexed="12"/>
        <rFont val="Times New Roman"/>
        <family val="1"/>
      </rPr>
      <t>Số Tuần</t>
    </r>
    <r>
      <rPr>
        <sz val="12"/>
        <rFont val="Times New Roman"/>
        <family val="1"/>
      </rPr>
      <t xml:space="preserve"> x </t>
    </r>
    <r>
      <rPr>
        <b/>
        <sz val="12"/>
        <color indexed="58"/>
        <rFont val="Times New Roman"/>
        <family val="1"/>
      </rPr>
      <t>Đơn Giá Tuần</t>
    </r>
    <r>
      <rPr>
        <sz val="12"/>
        <rFont val="Times New Roman"/>
        <family val="1"/>
      </rPr>
      <t xml:space="preserve"> + </t>
    </r>
    <r>
      <rPr>
        <b/>
        <sz val="12"/>
        <color indexed="12"/>
        <rFont val="Times New Roman"/>
        <family val="1"/>
      </rPr>
      <t>Số Ngày</t>
    </r>
    <r>
      <rPr>
        <sz val="12"/>
        <rFont val="Times New Roman"/>
        <family val="1"/>
      </rPr>
      <t xml:space="preserve"> x </t>
    </r>
    <r>
      <rPr>
        <b/>
        <sz val="12"/>
        <color indexed="61"/>
        <rFont val="Times New Roman"/>
        <family val="1"/>
      </rPr>
      <t>Đơn Giá Ngày</t>
    </r>
  </si>
  <si>
    <r>
      <t xml:space="preserve">và  mỗi khách hàng được giảm </t>
    </r>
    <r>
      <rPr>
        <b/>
        <sz val="12"/>
        <color indexed="16"/>
        <rFont val="Times New Roman"/>
        <family val="1"/>
      </rPr>
      <t>5%</t>
    </r>
    <r>
      <rPr>
        <sz val="12"/>
        <rFont val="Times New Roman"/>
        <family val="1"/>
      </rPr>
      <t xml:space="preserve"> số tiền </t>
    </r>
    <r>
      <rPr>
        <b/>
        <sz val="12"/>
        <color indexed="16"/>
        <rFont val="Times New Roman"/>
        <family val="1"/>
      </rPr>
      <t>Phải Trả</t>
    </r>
    <r>
      <rPr>
        <sz val="12"/>
        <rFont val="Times New Roman"/>
        <family val="1"/>
      </rPr>
      <t>.</t>
    </r>
  </si>
  <si>
    <r>
      <t xml:space="preserve">Tính </t>
    </r>
    <r>
      <rPr>
        <b/>
        <sz val="12"/>
        <color indexed="16"/>
        <rFont val="Times New Roman"/>
        <family val="1"/>
      </rPr>
      <t>Tổng Cộng</t>
    </r>
    <r>
      <rPr>
        <sz val="12"/>
        <rFont val="Times New Roman"/>
        <family val="1"/>
      </rPr>
      <t xml:space="preserve"> cho các cột </t>
    </r>
    <r>
      <rPr>
        <b/>
        <sz val="12"/>
        <color indexed="58"/>
        <rFont val="Times New Roman"/>
        <family val="1"/>
      </rPr>
      <t>Số Ngày Thuê</t>
    </r>
    <r>
      <rPr>
        <sz val="12"/>
        <rFont val="Times New Roman"/>
        <family val="1"/>
      </rPr>
      <t xml:space="preserve">, </t>
    </r>
    <r>
      <rPr>
        <b/>
        <sz val="12"/>
        <color indexed="16"/>
        <rFont val="Times New Roman"/>
        <family val="1"/>
      </rPr>
      <t>Số Tuần</t>
    </r>
    <r>
      <rPr>
        <sz val="12"/>
        <rFont val="Times New Roman"/>
        <family val="1"/>
      </rPr>
      <t xml:space="preserve">, </t>
    </r>
    <r>
      <rPr>
        <b/>
        <sz val="12"/>
        <color indexed="48"/>
        <rFont val="Times New Roman"/>
        <family val="1"/>
      </rPr>
      <t>Số Ngày Lẻ</t>
    </r>
    <r>
      <rPr>
        <sz val="12"/>
        <rFont val="Times New Roman"/>
        <family val="1"/>
      </rPr>
      <t xml:space="preserve"> và </t>
    </r>
    <r>
      <rPr>
        <b/>
        <sz val="12"/>
        <color indexed="60"/>
        <rFont val="Times New Roman"/>
        <family val="1"/>
      </rPr>
      <t>Phải Trả</t>
    </r>
  </si>
  <si>
    <t>Định dạng và kẻ khung cho bảng tính</t>
  </si>
  <si>
    <t>Khách Hàng</t>
  </si>
  <si>
    <t>Khu Vực</t>
  </si>
  <si>
    <t>Số Cũ</t>
  </si>
  <si>
    <t>Số Mới</t>
  </si>
  <si>
    <t>Định Mức</t>
  </si>
  <si>
    <t>Tiêu Thụ</t>
  </si>
  <si>
    <t>Tiền Điện</t>
  </si>
  <si>
    <t>Thuê Bao</t>
  </si>
  <si>
    <t>Vũ</t>
  </si>
  <si>
    <t>Trang</t>
  </si>
  <si>
    <t>Lan</t>
  </si>
  <si>
    <r>
      <t xml:space="preserve">Xác định gía trị cho cột </t>
    </r>
    <r>
      <rPr>
        <b/>
        <sz val="12"/>
        <color indexed="12"/>
        <rFont val="Times New Roman"/>
        <family val="1"/>
      </rPr>
      <t>Định Mức</t>
    </r>
    <r>
      <rPr>
        <sz val="12"/>
        <rFont val="Times New Roman"/>
        <family val="1"/>
      </rPr>
      <t>, biết rằng :</t>
    </r>
    <r>
      <rPr>
        <b/>
        <sz val="12"/>
        <color indexed="12"/>
        <rFont val="Times New Roman"/>
        <family val="1"/>
      </rPr>
      <t xml:space="preserve"> Định Mức </t>
    </r>
    <r>
      <rPr>
        <i/>
        <sz val="12"/>
        <rFont val="Times New Roman"/>
        <family val="1"/>
      </rPr>
      <t>cho khu vực 1 là 50, khu vực 2 là 100 và khu vực 3 là 150</t>
    </r>
  </si>
  <si>
    <r>
      <t xml:space="preserve">Tính lượng điện tiêu thụ của mỗi hộ biết rằng </t>
    </r>
    <r>
      <rPr>
        <b/>
        <sz val="12"/>
        <color indexed="12"/>
        <rFont val="Times New Roman"/>
        <family val="1"/>
      </rPr>
      <t>Tiêu Thụ = Số Mới - Số Cũ</t>
    </r>
  </si>
  <si>
    <r>
      <t xml:space="preserve">Tính </t>
    </r>
    <r>
      <rPr>
        <b/>
        <sz val="12"/>
        <color indexed="10"/>
        <rFont val="Times New Roman"/>
        <family val="1"/>
      </rPr>
      <t>Tiền Điện</t>
    </r>
    <r>
      <rPr>
        <sz val="12"/>
        <rFont val="Times New Roman"/>
        <family val="1"/>
      </rPr>
      <t xml:space="preserve"> biết rằng : </t>
    </r>
    <r>
      <rPr>
        <b/>
        <sz val="12"/>
        <color indexed="61"/>
        <rFont val="Times New Roman"/>
        <family val="1"/>
      </rPr>
      <t>Tiêu Điện = Tiêu Thụ * Đơn Giá</t>
    </r>
    <r>
      <rPr>
        <sz val="12"/>
        <rFont val="Times New Roman"/>
        <family val="1"/>
      </rPr>
      <t>, trong đó:</t>
    </r>
  </si>
  <si>
    <t xml:space="preserve">Câu 3 </t>
  </si>
  <si>
    <r>
      <t xml:space="preserve">     - Nếu số KW </t>
    </r>
    <r>
      <rPr>
        <b/>
        <sz val="12"/>
        <color indexed="17"/>
        <rFont val="Times New Roman"/>
        <family val="1"/>
      </rPr>
      <t>Tiêu Thụ &lt;= Số KW Định Mức</t>
    </r>
    <r>
      <rPr>
        <sz val="12"/>
        <rFont val="Times New Roman"/>
        <family val="1"/>
      </rPr>
      <t xml:space="preserve"> của khu vực mình thi tính gía </t>
    </r>
    <r>
      <rPr>
        <b/>
        <sz val="12"/>
        <color indexed="17"/>
        <rFont val="Times New Roman"/>
        <family val="1"/>
      </rPr>
      <t>450 đ/KW</t>
    </r>
  </si>
  <si>
    <r>
      <t xml:space="preserve">     - Ngược lại  : cứ mỗi KW vượt định mức tính giá </t>
    </r>
    <r>
      <rPr>
        <b/>
        <sz val="12"/>
        <color indexed="17"/>
        <rFont val="Times New Roman"/>
        <family val="1"/>
      </rPr>
      <t>800 đ/KW</t>
    </r>
    <r>
      <rPr>
        <sz val="12"/>
        <rFont val="Times New Roman"/>
        <family val="1"/>
      </rPr>
      <t xml:space="preserve"> (Số KW trong định mức vẫn tính giá </t>
    </r>
    <r>
      <rPr>
        <b/>
        <sz val="12"/>
        <color indexed="17"/>
        <rFont val="Times New Roman"/>
        <family val="1"/>
      </rPr>
      <t>450 đ/KW</t>
    </r>
    <r>
      <rPr>
        <sz val="12"/>
        <rFont val="Times New Roman"/>
        <family val="1"/>
      </rPr>
      <t>)</t>
    </r>
  </si>
  <si>
    <r>
      <t xml:space="preserve">Tính </t>
    </r>
    <r>
      <rPr>
        <b/>
        <sz val="12"/>
        <color indexed="53"/>
        <rFont val="Times New Roman"/>
        <family val="1"/>
      </rPr>
      <t>Thuê Bao = 5% * Tiền Điện</t>
    </r>
  </si>
  <si>
    <t xml:space="preserve">Câu 4 </t>
  </si>
  <si>
    <r>
      <t xml:space="preserve">Tính </t>
    </r>
    <r>
      <rPr>
        <b/>
        <sz val="12"/>
        <color indexed="61"/>
        <rFont val="Times New Roman"/>
        <family val="1"/>
      </rPr>
      <t>Phải Trả= Tiền Điện + Thuê Bao</t>
    </r>
  </si>
  <si>
    <t xml:space="preserve">Câu 5 </t>
  </si>
  <si>
    <r>
      <t xml:space="preserve">Tính </t>
    </r>
    <r>
      <rPr>
        <b/>
        <sz val="12"/>
        <color indexed="10"/>
        <rFont val="Times New Roman"/>
        <family val="1"/>
      </rPr>
      <t>Tổng Cộng</t>
    </r>
    <r>
      <rPr>
        <sz val="12"/>
        <rFont val="Times New Roman"/>
        <family val="1"/>
      </rPr>
      <t xml:space="preserve"> cho các cột </t>
    </r>
    <r>
      <rPr>
        <b/>
        <sz val="12"/>
        <color indexed="57"/>
        <rFont val="Times New Roman"/>
        <family val="1"/>
      </rPr>
      <t xml:space="preserve">Tiêu Thụ, </t>
    </r>
    <r>
      <rPr>
        <b/>
        <sz val="12"/>
        <color indexed="20"/>
        <rFont val="Times New Roman"/>
        <family val="1"/>
      </rPr>
      <t>Tiền Điện</t>
    </r>
    <r>
      <rPr>
        <b/>
        <sz val="12"/>
        <color indexed="57"/>
        <rFont val="Times New Roman"/>
        <family val="1"/>
      </rPr>
      <t xml:space="preserve">, </t>
    </r>
    <r>
      <rPr>
        <b/>
        <sz val="12"/>
        <color indexed="10"/>
        <rFont val="Times New Roman"/>
        <family val="1"/>
      </rPr>
      <t>Thuê Bao</t>
    </r>
    <r>
      <rPr>
        <sz val="12"/>
        <rFont val="Times New Roman"/>
        <family val="1"/>
      </rPr>
      <t xml:space="preserve"> và </t>
    </r>
    <r>
      <rPr>
        <b/>
        <sz val="12"/>
        <color indexed="12"/>
        <rFont val="Times New Roman"/>
        <family val="1"/>
      </rPr>
      <t>Phải Trả</t>
    </r>
  </si>
  <si>
    <t xml:space="preserve">Câu 6 </t>
  </si>
  <si>
    <t xml:space="preserve">Câu 7 </t>
  </si>
  <si>
    <t>BẢNG TÍNH TIỀN NƯỚC</t>
  </si>
  <si>
    <t>Chủ Hộ</t>
  </si>
  <si>
    <t>Tiền Nước</t>
  </si>
  <si>
    <t>Phụ Phí</t>
  </si>
  <si>
    <t>Việt</t>
  </si>
  <si>
    <t>Hoà</t>
  </si>
  <si>
    <t>Trâm</t>
  </si>
  <si>
    <t>ĐK KO-CC</t>
  </si>
  <si>
    <t>ĐK KO-T</t>
  </si>
  <si>
    <t>ĐK GE-T</t>
  </si>
  <si>
    <t>ĐK GE-CC</t>
  </si>
  <si>
    <t>Thảo</t>
  </si>
  <si>
    <r>
      <t xml:space="preserve">Tính lượng nước tiêu thụ của mỗi hộ biết rằng </t>
    </r>
    <r>
      <rPr>
        <b/>
        <sz val="12"/>
        <color indexed="12"/>
        <rFont val="Times New Roman"/>
        <family val="1"/>
      </rPr>
      <t>Tiêu Thụ = Số Mới - Số Cũ</t>
    </r>
  </si>
  <si>
    <r>
      <t xml:space="preserve">Tính </t>
    </r>
    <r>
      <rPr>
        <b/>
        <sz val="12"/>
        <color indexed="10"/>
        <rFont val="Times New Roman"/>
        <family val="1"/>
      </rPr>
      <t xml:space="preserve">Tiền Nước </t>
    </r>
    <r>
      <rPr>
        <sz val="12"/>
        <rFont val="Times New Roman"/>
        <family val="1"/>
      </rPr>
      <t xml:space="preserve">biết rằng : </t>
    </r>
    <r>
      <rPr>
        <b/>
        <sz val="12"/>
        <color indexed="61"/>
        <rFont val="Times New Roman"/>
        <family val="1"/>
      </rPr>
      <t>Tiền Nước = Tiêu Thụ * Đơn Giá</t>
    </r>
    <r>
      <rPr>
        <sz val="12"/>
        <rFont val="Times New Roman"/>
        <family val="1"/>
      </rPr>
      <t xml:space="preserve">, trong đó </t>
    </r>
    <r>
      <rPr>
        <b/>
        <sz val="12"/>
        <color indexed="16"/>
        <rFont val="Times New Roman"/>
        <family val="1"/>
      </rPr>
      <t>Đơn Giá</t>
    </r>
    <r>
      <rPr>
        <sz val="12"/>
        <rFont val="Times New Roman"/>
        <family val="1"/>
      </rPr>
      <t xml:space="preserve"> được tính theo </t>
    </r>
  </si>
  <si>
    <t>phương pháp luỹ tiến như sau:</t>
  </si>
  <si>
    <r>
      <t>Số  M</t>
    </r>
    <r>
      <rPr>
        <b/>
        <vertAlign val="superscript"/>
        <sz val="12"/>
        <color indexed="10"/>
        <rFont val="Times New Roman"/>
        <family val="1"/>
      </rPr>
      <t>3</t>
    </r>
    <r>
      <rPr>
        <b/>
        <sz val="12"/>
        <color indexed="10"/>
        <rFont val="Times New Roman"/>
        <family val="1"/>
      </rPr>
      <t xml:space="preserve"> Tiêu Thụ</t>
    </r>
  </si>
  <si>
    <t>Đơn Giá</t>
  </si>
  <si>
    <t>Từ 0 - 50</t>
  </si>
  <si>
    <t>Từ 51-100</t>
  </si>
  <si>
    <t>Trên 100</t>
  </si>
  <si>
    <t xml:space="preserve">Ví Dụ: </t>
  </si>
  <si>
    <r>
      <t xml:space="preserve">   - Nếu mức tiêu thụ là 30 m</t>
    </r>
    <r>
      <rPr>
        <i/>
        <vertAlign val="superscript"/>
        <sz val="12"/>
        <color indexed="20"/>
        <rFont val="Times New Roman"/>
        <family val="1"/>
      </rPr>
      <t>3</t>
    </r>
    <r>
      <rPr>
        <i/>
        <sz val="12"/>
        <color indexed="20"/>
        <rFont val="Times New Roman"/>
        <family val="1"/>
      </rPr>
      <t xml:space="preserve"> thì chỉ  tính 1 giá là </t>
    </r>
    <r>
      <rPr>
        <b/>
        <sz val="12"/>
        <color indexed="12"/>
        <rFont val="Times New Roman"/>
        <family val="1"/>
      </rPr>
      <t>100</t>
    </r>
    <r>
      <rPr>
        <i/>
        <sz val="12"/>
        <color indexed="20"/>
        <rFont val="Times New Roman"/>
        <family val="1"/>
      </rPr>
      <t xml:space="preserve"> đ/1m</t>
    </r>
    <r>
      <rPr>
        <i/>
        <vertAlign val="superscript"/>
        <sz val="12"/>
        <color indexed="20"/>
        <rFont val="Times New Roman"/>
        <family val="1"/>
      </rPr>
      <t>3</t>
    </r>
  </si>
  <si>
    <r>
      <t xml:space="preserve">   - Nếu mức tiêu thụ là 70 m</t>
    </r>
    <r>
      <rPr>
        <i/>
        <vertAlign val="superscript"/>
        <sz val="12"/>
        <color indexed="62"/>
        <rFont val="Times New Roman"/>
        <family val="1"/>
      </rPr>
      <t>3</t>
    </r>
    <r>
      <rPr>
        <i/>
        <sz val="12"/>
        <color indexed="62"/>
        <rFont val="Times New Roman"/>
        <family val="1"/>
      </rPr>
      <t xml:space="preserve"> thì có 2 giá : 50 m</t>
    </r>
    <r>
      <rPr>
        <i/>
        <vertAlign val="superscript"/>
        <sz val="12"/>
        <color indexed="62"/>
        <rFont val="Times New Roman"/>
        <family val="1"/>
      </rPr>
      <t>3</t>
    </r>
    <r>
      <rPr>
        <i/>
        <sz val="12"/>
        <color indexed="62"/>
        <rFont val="Times New Roman"/>
        <family val="1"/>
      </rPr>
      <t xml:space="preserve"> tính </t>
    </r>
    <r>
      <rPr>
        <b/>
        <sz val="12"/>
        <color indexed="12"/>
        <rFont val="Times New Roman"/>
        <family val="1"/>
      </rPr>
      <t>100</t>
    </r>
    <r>
      <rPr>
        <i/>
        <sz val="12"/>
        <color indexed="62"/>
        <rFont val="Times New Roman"/>
        <family val="1"/>
      </rPr>
      <t xml:space="preserve"> đ/1m</t>
    </r>
    <r>
      <rPr>
        <i/>
        <vertAlign val="superscript"/>
        <sz val="12"/>
        <color indexed="62"/>
        <rFont val="Times New Roman"/>
        <family val="1"/>
      </rPr>
      <t>3</t>
    </r>
    <r>
      <rPr>
        <i/>
        <sz val="12"/>
        <color indexed="62"/>
        <rFont val="Times New Roman"/>
        <family val="1"/>
      </rPr>
      <t xml:space="preserve"> và 20 m</t>
    </r>
    <r>
      <rPr>
        <i/>
        <vertAlign val="superscript"/>
        <sz val="12"/>
        <color indexed="62"/>
        <rFont val="Times New Roman"/>
        <family val="1"/>
      </rPr>
      <t>3</t>
    </r>
    <r>
      <rPr>
        <i/>
        <sz val="12"/>
        <color indexed="62"/>
        <rFont val="Times New Roman"/>
        <family val="1"/>
      </rPr>
      <t xml:space="preserve"> tính </t>
    </r>
    <r>
      <rPr>
        <b/>
        <sz val="12"/>
        <color indexed="10"/>
        <rFont val="Times New Roman"/>
        <family val="1"/>
      </rPr>
      <t>150</t>
    </r>
    <r>
      <rPr>
        <i/>
        <sz val="12"/>
        <color indexed="62"/>
        <rFont val="Times New Roman"/>
        <family val="1"/>
      </rPr>
      <t xml:space="preserve"> đ/1m</t>
    </r>
    <r>
      <rPr>
        <i/>
        <vertAlign val="superscript"/>
        <sz val="12"/>
        <color indexed="62"/>
        <rFont val="Times New Roman"/>
        <family val="1"/>
      </rPr>
      <t>3</t>
    </r>
  </si>
  <si>
    <r>
      <t xml:space="preserve">   - Nếu mức tiêu thụ là 120 m</t>
    </r>
    <r>
      <rPr>
        <i/>
        <vertAlign val="superscript"/>
        <sz val="12"/>
        <color indexed="59"/>
        <rFont val="Times New Roman"/>
        <family val="1"/>
      </rPr>
      <t>3</t>
    </r>
    <r>
      <rPr>
        <i/>
        <sz val="12"/>
        <color indexed="59"/>
        <rFont val="Times New Roman"/>
        <family val="1"/>
      </rPr>
      <t xml:space="preserve"> thì có 3 giá : 50 m</t>
    </r>
    <r>
      <rPr>
        <i/>
        <vertAlign val="superscript"/>
        <sz val="12"/>
        <color indexed="59"/>
        <rFont val="Times New Roman"/>
        <family val="1"/>
      </rPr>
      <t>3</t>
    </r>
    <r>
      <rPr>
        <i/>
        <sz val="12"/>
        <color indexed="59"/>
        <rFont val="Times New Roman"/>
        <family val="1"/>
      </rPr>
      <t xml:space="preserve"> tính </t>
    </r>
    <r>
      <rPr>
        <b/>
        <sz val="12"/>
        <color indexed="12"/>
        <rFont val="Times New Roman"/>
        <family val="1"/>
      </rPr>
      <t>100</t>
    </r>
    <r>
      <rPr>
        <i/>
        <sz val="12"/>
        <color indexed="59"/>
        <rFont val="Times New Roman"/>
        <family val="1"/>
      </rPr>
      <t xml:space="preserve"> đ/1m</t>
    </r>
    <r>
      <rPr>
        <i/>
        <vertAlign val="superscript"/>
        <sz val="12"/>
        <color indexed="59"/>
        <rFont val="Times New Roman"/>
        <family val="1"/>
      </rPr>
      <t>3</t>
    </r>
    <r>
      <rPr>
        <i/>
        <sz val="12"/>
        <color indexed="59"/>
        <rFont val="Times New Roman"/>
        <family val="1"/>
      </rPr>
      <t>, 50 m</t>
    </r>
    <r>
      <rPr>
        <i/>
        <vertAlign val="superscript"/>
        <sz val="12"/>
        <color indexed="59"/>
        <rFont val="Times New Roman"/>
        <family val="1"/>
      </rPr>
      <t>3</t>
    </r>
    <r>
      <rPr>
        <i/>
        <sz val="12"/>
        <color indexed="59"/>
        <rFont val="Times New Roman"/>
        <family val="1"/>
      </rPr>
      <t xml:space="preserve"> tính </t>
    </r>
    <r>
      <rPr>
        <b/>
        <sz val="12"/>
        <color indexed="10"/>
        <rFont val="Times New Roman"/>
        <family val="1"/>
      </rPr>
      <t xml:space="preserve">150 </t>
    </r>
    <r>
      <rPr>
        <i/>
        <sz val="12"/>
        <color indexed="59"/>
        <rFont val="Times New Roman"/>
        <family val="1"/>
      </rPr>
      <t>đ/1m</t>
    </r>
    <r>
      <rPr>
        <i/>
        <vertAlign val="superscript"/>
        <sz val="12"/>
        <color indexed="59"/>
        <rFont val="Times New Roman"/>
        <family val="1"/>
      </rPr>
      <t>3</t>
    </r>
  </si>
  <si>
    <r>
      <t xml:space="preserve">     và 20 m</t>
    </r>
    <r>
      <rPr>
        <i/>
        <vertAlign val="superscript"/>
        <sz val="12"/>
        <color indexed="59"/>
        <rFont val="Times New Roman"/>
        <family val="1"/>
      </rPr>
      <t>3</t>
    </r>
    <r>
      <rPr>
        <i/>
        <sz val="12"/>
        <color indexed="59"/>
        <rFont val="Times New Roman"/>
        <family val="1"/>
      </rPr>
      <t xml:space="preserve"> còn  lại tính </t>
    </r>
    <r>
      <rPr>
        <b/>
        <sz val="12"/>
        <color indexed="53"/>
        <rFont val="Times New Roman"/>
        <family val="1"/>
      </rPr>
      <t>200</t>
    </r>
    <r>
      <rPr>
        <i/>
        <sz val="12"/>
        <color indexed="59"/>
        <rFont val="Times New Roman"/>
        <family val="1"/>
      </rPr>
      <t xml:space="preserve"> đ/1m</t>
    </r>
    <r>
      <rPr>
        <i/>
        <vertAlign val="superscript"/>
        <sz val="12"/>
        <color indexed="59"/>
        <rFont val="Times New Roman"/>
        <family val="1"/>
      </rPr>
      <t>3</t>
    </r>
  </si>
  <si>
    <r>
      <t xml:space="preserve">Tính  </t>
    </r>
    <r>
      <rPr>
        <b/>
        <sz val="12"/>
        <color indexed="60"/>
        <rFont val="Times New Roman"/>
        <family val="1"/>
      </rPr>
      <t>Phụ Phí</t>
    </r>
    <r>
      <rPr>
        <sz val="12"/>
        <rFont val="Times New Roman"/>
        <family val="1"/>
      </rPr>
      <t xml:space="preserve"> biết rằng : </t>
    </r>
    <r>
      <rPr>
        <b/>
        <sz val="12"/>
        <color indexed="60"/>
        <rFont val="Times New Roman"/>
        <family val="1"/>
      </rPr>
      <t>Phụ Phí</t>
    </r>
    <r>
      <rPr>
        <sz val="12"/>
        <rFont val="Times New Roman"/>
        <family val="1"/>
      </rPr>
      <t xml:space="preserve"> =</t>
    </r>
    <r>
      <rPr>
        <b/>
        <sz val="12"/>
        <color indexed="10"/>
        <rFont val="Times New Roman"/>
        <family val="1"/>
      </rPr>
      <t>Tiền Nước</t>
    </r>
    <r>
      <rPr>
        <sz val="12"/>
        <rFont val="Times New Roman"/>
        <family val="1"/>
      </rPr>
      <t xml:space="preserve"> * </t>
    </r>
    <r>
      <rPr>
        <b/>
        <sz val="12"/>
        <color indexed="12"/>
        <rFont val="Times New Roman"/>
        <family val="1"/>
      </rPr>
      <t>%Phụ Phí</t>
    </r>
    <r>
      <rPr>
        <sz val="12"/>
        <rFont val="Times New Roman"/>
        <family val="1"/>
      </rPr>
      <t xml:space="preserve">, trong đó </t>
    </r>
    <r>
      <rPr>
        <b/>
        <sz val="12"/>
        <color indexed="12"/>
        <rFont val="Times New Roman"/>
        <family val="1"/>
      </rPr>
      <t>%Phụ Phí</t>
    </r>
    <r>
      <rPr>
        <sz val="12"/>
        <rFont val="Times New Roman"/>
        <family val="1"/>
      </rPr>
      <t xml:space="preserve"> được quy định như sau :</t>
    </r>
  </si>
  <si>
    <r>
      <t xml:space="preserve">Lưu ý </t>
    </r>
    <r>
      <rPr>
        <sz val="12"/>
        <color indexed="10"/>
        <rFont val="Times New Roman"/>
        <family val="1"/>
      </rPr>
      <t xml:space="preserve"> </t>
    </r>
    <r>
      <rPr>
        <sz val="12"/>
        <rFont val="Times New Roman"/>
        <family val="1"/>
      </rPr>
      <t xml:space="preserve">: </t>
    </r>
    <r>
      <rPr>
        <b/>
        <sz val="12"/>
        <color indexed="12"/>
        <rFont val="Times New Roman"/>
        <family val="1"/>
      </rPr>
      <t>Phụ Phí</t>
    </r>
    <r>
      <rPr>
        <sz val="12"/>
        <rFont val="Times New Roman"/>
        <family val="1"/>
      </rPr>
      <t xml:space="preserve"> </t>
    </r>
    <r>
      <rPr>
        <sz val="12"/>
        <color indexed="16"/>
        <rFont val="Times New Roman"/>
        <family val="1"/>
      </rPr>
      <t>không tính theo phương pháp luỹ tiến</t>
    </r>
  </si>
  <si>
    <t>%Phụ Phí</t>
  </si>
  <si>
    <r>
      <t xml:space="preserve">Tính </t>
    </r>
    <r>
      <rPr>
        <b/>
        <sz val="12"/>
        <color indexed="61"/>
        <rFont val="Times New Roman"/>
        <family val="1"/>
      </rPr>
      <t>Phải Trả = Tiền Nước + Phụ Phí</t>
    </r>
  </si>
  <si>
    <r>
      <t xml:space="preserve">Tính </t>
    </r>
    <r>
      <rPr>
        <b/>
        <sz val="12"/>
        <color indexed="52"/>
        <rFont val="Times New Roman"/>
        <family val="1"/>
      </rPr>
      <t>Tổng Cộng</t>
    </r>
    <r>
      <rPr>
        <sz val="12"/>
        <rFont val="Times New Roman"/>
        <family val="1"/>
      </rPr>
      <t xml:space="preserve"> cho các cột </t>
    </r>
    <r>
      <rPr>
        <b/>
        <sz val="12"/>
        <color indexed="57"/>
        <rFont val="Times New Roman"/>
        <family val="1"/>
      </rPr>
      <t xml:space="preserve">Tiêu Thụ, </t>
    </r>
    <r>
      <rPr>
        <b/>
        <sz val="12"/>
        <color indexed="12"/>
        <rFont val="Times New Roman"/>
        <family val="1"/>
      </rPr>
      <t>Tiền Nước</t>
    </r>
    <r>
      <rPr>
        <b/>
        <sz val="12"/>
        <color indexed="57"/>
        <rFont val="Times New Roman"/>
        <family val="1"/>
      </rPr>
      <t xml:space="preserve">, </t>
    </r>
    <r>
      <rPr>
        <b/>
        <sz val="12"/>
        <color indexed="16"/>
        <rFont val="Times New Roman"/>
        <family val="1"/>
      </rPr>
      <t>Phụ Phí</t>
    </r>
    <r>
      <rPr>
        <sz val="12"/>
        <rFont val="Times New Roman"/>
        <family val="1"/>
      </rPr>
      <t xml:space="preserve"> và </t>
    </r>
    <r>
      <rPr>
        <b/>
        <sz val="12"/>
        <color indexed="10"/>
        <rFont val="Times New Roman"/>
        <family val="1"/>
      </rPr>
      <t>Phải Trả</t>
    </r>
  </si>
  <si>
    <t>Câu 6</t>
  </si>
  <si>
    <t>KẾT QUẢ HỌC TẬP NĂM 2002</t>
  </si>
  <si>
    <t xml:space="preserve"> </t>
  </si>
  <si>
    <t>Tên
Học Sinh</t>
  </si>
  <si>
    <t>Môn Chính</t>
  </si>
  <si>
    <t>Môn Phụ</t>
  </si>
  <si>
    <t>Vị Thứ</t>
  </si>
  <si>
    <t>Xếp Loại</t>
  </si>
  <si>
    <t>Hoá</t>
  </si>
  <si>
    <t>Sinh</t>
  </si>
  <si>
    <t>Sử</t>
  </si>
  <si>
    <t>Địa</t>
  </si>
  <si>
    <t>Vinh</t>
  </si>
  <si>
    <t>Châu</t>
  </si>
  <si>
    <t>Vân</t>
  </si>
  <si>
    <t>TB</t>
  </si>
  <si>
    <t>Thuỷ</t>
  </si>
  <si>
    <t>Y</t>
  </si>
  <si>
    <t>Nguyệt</t>
  </si>
  <si>
    <t>Hoàng</t>
  </si>
  <si>
    <r>
      <t xml:space="preserve">Hãy tính </t>
    </r>
    <r>
      <rPr>
        <b/>
        <sz val="12"/>
        <color indexed="10"/>
        <rFont val="Times New Roman"/>
        <family val="1"/>
      </rPr>
      <t>ĐTB</t>
    </r>
    <r>
      <rPr>
        <sz val="12"/>
        <rFont val="Times New Roman"/>
        <family val="1"/>
      </rPr>
      <t xml:space="preserve"> cho mỗi học sinh biết rằng </t>
    </r>
    <r>
      <rPr>
        <sz val="12"/>
        <color indexed="10"/>
        <rFont val="Times New Roman"/>
        <family val="1"/>
      </rPr>
      <t>ĐTB</t>
    </r>
    <r>
      <rPr>
        <sz val="12"/>
        <rFont val="Times New Roman"/>
        <family val="1"/>
      </rPr>
      <t>=</t>
    </r>
    <r>
      <rPr>
        <b/>
        <sz val="12"/>
        <color indexed="12"/>
        <rFont val="Times New Roman"/>
        <family val="1"/>
      </rPr>
      <t xml:space="preserve">Tổng Điểm </t>
    </r>
    <r>
      <rPr>
        <sz val="12"/>
        <rFont val="Times New Roman"/>
        <family val="1"/>
      </rPr>
      <t xml:space="preserve">/ </t>
    </r>
    <r>
      <rPr>
        <b/>
        <sz val="12"/>
        <color indexed="60"/>
        <rFont val="Times New Roman"/>
        <family val="1"/>
      </rPr>
      <t>Tổng Hệ Số</t>
    </r>
    <r>
      <rPr>
        <sz val="12"/>
        <rFont val="Times New Roman"/>
        <family val="1"/>
      </rPr>
      <t>, trong đó :</t>
    </r>
  </si>
  <si>
    <r>
      <t xml:space="preserve"> - Các </t>
    </r>
    <r>
      <rPr>
        <b/>
        <sz val="12"/>
        <color indexed="20"/>
        <rFont val="Times New Roman"/>
        <family val="1"/>
      </rPr>
      <t>Môn Chính</t>
    </r>
    <r>
      <rPr>
        <sz val="12"/>
        <rFont val="Times New Roman"/>
        <family val="1"/>
      </rPr>
      <t xml:space="preserve"> có hệ số là </t>
    </r>
    <r>
      <rPr>
        <b/>
        <sz val="12"/>
        <color indexed="10"/>
        <rFont val="Times New Roman"/>
        <family val="1"/>
      </rPr>
      <t>2</t>
    </r>
  </si>
  <si>
    <r>
      <t xml:space="preserve"> - Các </t>
    </r>
    <r>
      <rPr>
        <b/>
        <sz val="12"/>
        <color indexed="20"/>
        <rFont val="Times New Roman"/>
        <family val="1"/>
      </rPr>
      <t xml:space="preserve">Môn Phụ </t>
    </r>
    <r>
      <rPr>
        <sz val="12"/>
        <rFont val="Times New Roman"/>
        <family val="1"/>
      </rPr>
      <t xml:space="preserve">có hệ số là </t>
    </r>
    <r>
      <rPr>
        <b/>
        <sz val="12"/>
        <color indexed="10"/>
        <rFont val="Times New Roman"/>
        <family val="1"/>
      </rPr>
      <t>1</t>
    </r>
  </si>
  <si>
    <r>
      <t xml:space="preserve">Hãy xếp </t>
    </r>
    <r>
      <rPr>
        <b/>
        <sz val="12"/>
        <color indexed="16"/>
        <rFont val="Times New Roman"/>
        <family val="1"/>
      </rPr>
      <t>Vị Thứ</t>
    </r>
    <r>
      <rPr>
        <sz val="12"/>
        <rFont val="Times New Roman"/>
        <family val="1"/>
      </rPr>
      <t xml:space="preserve"> cho mỗi học sinh dựa vào </t>
    </r>
    <r>
      <rPr>
        <b/>
        <sz val="12"/>
        <color indexed="10"/>
        <rFont val="Times New Roman"/>
        <family val="1"/>
      </rPr>
      <t>ĐTB</t>
    </r>
  </si>
  <si>
    <t>Hãy Xếp Loại cho học sinh dựa vào các yêu cầu sau:</t>
  </si>
  <si>
    <r>
      <t xml:space="preserve">- </t>
    </r>
    <r>
      <rPr>
        <b/>
        <sz val="12"/>
        <color indexed="61"/>
        <rFont val="Times New Roman"/>
        <family val="1"/>
      </rPr>
      <t>Giỏi</t>
    </r>
    <r>
      <rPr>
        <sz val="12"/>
        <rFont val="Times New Roman"/>
        <family val="1"/>
      </rPr>
      <t xml:space="preserve"> : </t>
    </r>
    <r>
      <rPr>
        <b/>
        <sz val="12"/>
        <color indexed="12"/>
        <rFont val="Times New Roman"/>
        <family val="1"/>
      </rPr>
      <t>ĐTB</t>
    </r>
    <r>
      <rPr>
        <sz val="12"/>
        <rFont val="Times New Roman"/>
        <family val="1"/>
      </rPr>
      <t xml:space="preserve"> &gt;=</t>
    </r>
    <r>
      <rPr>
        <b/>
        <sz val="12"/>
        <color indexed="10"/>
        <rFont val="Times New Roman"/>
        <family val="1"/>
      </rPr>
      <t>9</t>
    </r>
    <r>
      <rPr>
        <sz val="12"/>
        <rFont val="Times New Roman"/>
        <family val="1"/>
      </rPr>
      <t xml:space="preserve"> và không có môn nào điểm nhỏ hơn </t>
    </r>
    <r>
      <rPr>
        <b/>
        <sz val="12"/>
        <color indexed="10"/>
        <rFont val="Times New Roman"/>
        <family val="1"/>
      </rPr>
      <t>8</t>
    </r>
  </si>
  <si>
    <r>
      <t xml:space="preserve">- </t>
    </r>
    <r>
      <rPr>
        <b/>
        <sz val="12"/>
        <color indexed="61"/>
        <rFont val="Times New Roman"/>
        <family val="1"/>
      </rPr>
      <t xml:space="preserve">Khá </t>
    </r>
    <r>
      <rPr>
        <sz val="12"/>
        <rFont val="Times New Roman"/>
        <family val="1"/>
      </rPr>
      <t xml:space="preserve">: </t>
    </r>
    <r>
      <rPr>
        <b/>
        <sz val="12"/>
        <color indexed="12"/>
        <rFont val="Times New Roman"/>
        <family val="1"/>
      </rPr>
      <t>ĐTB</t>
    </r>
    <r>
      <rPr>
        <sz val="12"/>
        <rFont val="Times New Roman"/>
        <family val="1"/>
      </rPr>
      <t xml:space="preserve"> &gt;=</t>
    </r>
    <r>
      <rPr>
        <b/>
        <sz val="12"/>
        <color indexed="10"/>
        <rFont val="Times New Roman"/>
        <family val="1"/>
      </rPr>
      <t>7</t>
    </r>
    <r>
      <rPr>
        <sz val="12"/>
        <rFont val="Times New Roman"/>
        <family val="1"/>
      </rPr>
      <t xml:space="preserve"> và không có môn nào điểm nhỏ hơn </t>
    </r>
    <r>
      <rPr>
        <b/>
        <sz val="12"/>
        <color indexed="10"/>
        <rFont val="Times New Roman"/>
        <family val="1"/>
      </rPr>
      <t>6</t>
    </r>
  </si>
  <si>
    <r>
      <t xml:space="preserve">- </t>
    </r>
    <r>
      <rPr>
        <b/>
        <sz val="12"/>
        <color indexed="61"/>
        <rFont val="Times New Roman"/>
        <family val="1"/>
      </rPr>
      <t>TB</t>
    </r>
    <r>
      <rPr>
        <sz val="12"/>
        <rFont val="Times New Roman"/>
        <family val="1"/>
      </rPr>
      <t xml:space="preserve"> : </t>
    </r>
    <r>
      <rPr>
        <b/>
        <sz val="12"/>
        <color indexed="12"/>
        <rFont val="Times New Roman"/>
        <family val="1"/>
      </rPr>
      <t>ĐTB</t>
    </r>
    <r>
      <rPr>
        <sz val="12"/>
        <rFont val="Times New Roman"/>
        <family val="1"/>
      </rPr>
      <t xml:space="preserve"> &gt;=</t>
    </r>
    <r>
      <rPr>
        <b/>
        <sz val="12"/>
        <color indexed="10"/>
        <rFont val="Times New Roman"/>
        <family val="1"/>
      </rPr>
      <t>5</t>
    </r>
    <r>
      <rPr>
        <sz val="12"/>
        <rFont val="Times New Roman"/>
        <family val="1"/>
      </rPr>
      <t xml:space="preserve"> và không có môn nào điểm nhỏ hơn </t>
    </r>
    <r>
      <rPr>
        <b/>
        <sz val="12"/>
        <color indexed="10"/>
        <rFont val="Times New Roman"/>
        <family val="1"/>
      </rPr>
      <t>4</t>
    </r>
  </si>
  <si>
    <r>
      <t xml:space="preserve">- </t>
    </r>
    <r>
      <rPr>
        <b/>
        <sz val="12"/>
        <color indexed="61"/>
        <rFont val="Times New Roman"/>
        <family val="1"/>
      </rPr>
      <t>Yếu</t>
    </r>
    <r>
      <rPr>
        <sz val="12"/>
        <rFont val="Times New Roman"/>
        <family val="1"/>
      </rPr>
      <t xml:space="preserve"> : Các trường hợp còn lại</t>
    </r>
  </si>
  <si>
    <t>Cty TNHH Đại Thái Bình Dương</t>
  </si>
  <si>
    <r>
      <t xml:space="preserve">7) Lưu bài tập với tên </t>
    </r>
    <r>
      <rPr>
        <b/>
        <sz val="12"/>
        <rFont val="Times New Roman"/>
        <family val="1"/>
        <charset val="163"/>
      </rPr>
      <t>Bai3.xls</t>
    </r>
    <r>
      <rPr>
        <sz val="12"/>
        <rFont val="Times New Roman"/>
        <family val="1"/>
        <charset val="163"/>
      </rPr>
      <t>.</t>
    </r>
  </si>
  <si>
    <r>
      <t xml:space="preserve">6) Lưu bài tập với tên </t>
    </r>
    <r>
      <rPr>
        <b/>
        <sz val="12"/>
        <rFont val="Times New Roman"/>
        <family val="1"/>
        <charset val="163"/>
      </rPr>
      <t>Bai4.xls</t>
    </r>
    <r>
      <rPr>
        <sz val="12"/>
        <rFont val="Times New Roman"/>
        <family val="1"/>
        <charset val="163"/>
      </rPr>
      <t>.</t>
    </r>
  </si>
  <si>
    <t>CÁC HÀM NGÀY THÁNG THỜI GIAN (DATE / TIME FUNTION)</t>
  </si>
  <si>
    <t>serial</t>
  </si>
  <si>
    <t xml:space="preserve">Ngày
 (2) </t>
  </si>
  <si>
    <t>Tháng
 (3)</t>
  </si>
  <si>
    <t xml:space="preserve">Năm 
(4) </t>
  </si>
  <si>
    <t>Stt ngày
 trong tuần</t>
  </si>
  <si>
    <t>Tạo lại ngày
 tháng
 từ (2), (3), (4)</t>
  </si>
  <si>
    <t>Hướng Dẫn:</t>
  </si>
  <si>
    <t>Dùng các Hàm Day, Month, Year và Weekday(SerialNumber) để lấy về ngày, tháng, năm của 1 số SerialNumber</t>
  </si>
  <si>
    <t>Dùng hàm Date(y,m,d) để trả về dạng ngày tháng</t>
  </si>
  <si>
    <t>Serial 
number</t>
  </si>
  <si>
    <t>Giây
(2)</t>
  </si>
  <si>
    <t>Phút 
(3)</t>
  </si>
  <si>
    <t>Giờ 
(4)</t>
  </si>
  <si>
    <t xml:space="preserve">Tạo lại thời gian từ 
(2),(3),(4)  
</t>
  </si>
  <si>
    <t xml:space="preserve"> Hướng Dẫn</t>
  </si>
  <si>
    <t>Dùng các hàm Second, Minute, Hour (SerialNumber) để lấy về giây, phút, giờ của 1 số SerialNumber</t>
  </si>
  <si>
    <t>Dùng hàm Time(h,m,s) để trả về dạng thời gian</t>
  </si>
  <si>
    <t>Kaki 2</t>
  </si>
  <si>
    <t>K1252</t>
  </si>
  <si>
    <t>Jean 1</t>
  </si>
  <si>
    <t>J2011</t>
  </si>
  <si>
    <t>Jean 2</t>
  </si>
  <si>
    <t>J0982</t>
  </si>
  <si>
    <t>Kaki 1</t>
  </si>
  <si>
    <t>K5801</t>
  </si>
  <si>
    <t>CÁC HÀM XỬ LÝ CHUỖI (TEXT FUNTIONS)</t>
  </si>
  <si>
    <t xml:space="preserve">Mặt hàng </t>
  </si>
  <si>
    <t xml:space="preserve">Mã HĐ </t>
  </si>
  <si>
    <t xml:space="preserve">Mã loại </t>
  </si>
  <si>
    <t>STTHĐ</t>
  </si>
  <si>
    <t xml:space="preserve">Đơn giá </t>
  </si>
  <si>
    <t xml:space="preserve">Số lượng </t>
  </si>
  <si>
    <t xml:space="preserve">Giảm giá </t>
  </si>
  <si>
    <t xml:space="preserve">Yêu cầu: </t>
  </si>
  <si>
    <t>1. Lập công thức cho cột Mã Loại, biết rằng: Ký tự cuối cùng của Mã HĐ là Mã Loại</t>
  </si>
  <si>
    <t>2. Lập công thức cho cột STT HĐ, biết rằng: 3 ký tự giữa của Mã HĐ là STT của hoá đơn.</t>
  </si>
  <si>
    <t>3. Tính cột giảm giá sao cho:</t>
  </si>
  <si>
    <t>nếu Mã loại là 1 thì Giảm giá = 30%*Đơn giá * Số lượng</t>
  </si>
  <si>
    <t>nếu Mã loại là 2 thì Giảm giá = 50%*Đơn giá * Số lượng</t>
  </si>
  <si>
    <t>4. Tính cột thành tiền = Đơn giá * Số lượng - Giảm giá</t>
  </si>
  <si>
    <t>Hướng Dẫn</t>
  </si>
  <si>
    <t xml:space="preserve">* Chú ý rằng kết quả trong cột mã loại là kiểu Text </t>
  </si>
  <si>
    <t>nên phải dùng hàm Value(text) để đổi thành giá trị số</t>
  </si>
  <si>
    <t xml:space="preserve"> hoặc phải  so sánh với dạng ký tự như" "1", "2".</t>
  </si>
  <si>
    <t>d</t>
  </si>
  <si>
    <t>study</t>
  </si>
  <si>
    <t>compare</t>
  </si>
  <si>
    <t>computer</t>
  </si>
  <si>
    <t>some</t>
  </si>
  <si>
    <t>command</t>
  </si>
  <si>
    <t>Learn</t>
  </si>
  <si>
    <t>CÁC HÀM THỐNG KÊ</t>
  </si>
  <si>
    <t xml:space="preserve">Giá trị lớn nhất </t>
  </si>
  <si>
    <t xml:space="preserve">Giá trị nhỏ nhất </t>
  </si>
  <si>
    <t xml:space="preserve">Giá trị trung bình </t>
  </si>
  <si>
    <t xml:space="preserve">Tổng các giá trị </t>
  </si>
  <si>
    <t xml:space="preserve">Số ô chứa giá trị </t>
  </si>
  <si>
    <t xml:space="preserve">Số ô chứa giá trị chuỗi  </t>
  </si>
  <si>
    <t>Số ô chứa giá trị &gt;50</t>
  </si>
  <si>
    <t>Số ô bắt đầu bằng chữ "com"</t>
  </si>
  <si>
    <t>BÀI TẬP VỀ NGÀY THÁNG</t>
  </si>
  <si>
    <t xml:space="preserve">Ngày </t>
  </si>
  <si>
    <t xml:space="preserve">Thứ </t>
  </si>
  <si>
    <t xml:space="preserve">Số ngày trong tháng </t>
  </si>
  <si>
    <t>Năm nhuặn hay không nhuặn</t>
  </si>
  <si>
    <t>1. Hăy lập công thức in ra thứ (tiếng Việt) của giá trị ngày.</t>
  </si>
  <si>
    <t>HD: Dùng hàm Choose phối hợp với hàm Weekday như sau:</t>
  </si>
  <si>
    <t>Choose(Weekday(B21),"Chủ Nhật","Thứ Hai", "Thứ Ba", "Thứ Tư", "Thứ Năm", "Thứ Sáu", "Thứ Bảy")</t>
  </si>
  <si>
    <t>2. Lập công thức in ra số ngày có trong tháng của tháng ở ô B21.</t>
  </si>
  <si>
    <t>HD: * Số ngày trong tháng = ngày đầu tháng sau - ngày đầu tháng hiện tại</t>
  </si>
  <si>
    <t xml:space="preserve">        * Dùng hàm Date(year,month,day) để trả về một ngày</t>
  </si>
  <si>
    <t>Hoặc dung hàm Datedif( ngày đầu tháng hiện tại, ngày đầu tháng sau, "d").</t>
  </si>
  <si>
    <t>3. Lập công thức xác định xem năm của ngày ở ô B21 có phải là năm nhuận?</t>
  </si>
  <si>
    <t>Biết rằng: 1. Năm nhuận là năm chia hết cho 400( điều kiện 1)</t>
  </si>
  <si>
    <t>hoặc là năm chia hết cho 4 (đk 2.1) và không chia hết cho 100 (đk 2.2)</t>
  </si>
  <si>
    <t>HD: dùng hàm if(or (đk1, And (đk2.1,đk2.2)),"năm nhuận","không nhuận")</t>
  </si>
  <si>
    <t>4. Thử gơ các giá trị ngày khác nhau ở ô B21 và kiểm tra kết quả hiện lên ở các ô c̣n lại</t>
  </si>
  <si>
    <t>BẢNG ĐIỂM HỌC SINH</t>
  </si>
  <si>
    <t>Stt</t>
  </si>
  <si>
    <t>Họ và Tên</t>
  </si>
  <si>
    <t>Ngày Sinh</t>
  </si>
  <si>
    <t>Văn</t>
  </si>
  <si>
    <t>Xếp
Loại</t>
  </si>
  <si>
    <t>Phần 
Thưởng</t>
  </si>
  <si>
    <t>Lê Hương</t>
  </si>
  <si>
    <t>Phan      Tuấn</t>
  </si>
  <si>
    <t>Bùi        Long</t>
  </si>
  <si>
    <t>Phạm    Hoa</t>
  </si>
  <si>
    <t>Lê         Lan</t>
  </si>
  <si>
    <t>Lưu       Luyến</t>
  </si>
  <si>
    <t>Quách   Hùng</t>
  </si>
  <si>
    <t>Khưu    Giang</t>
  </si>
  <si>
    <t>Nguyễn  Hai</t>
  </si>
  <si>
    <t>Trần       Minh</t>
  </si>
  <si>
    <t>BẢNG ĐIỀU KIỆN</t>
  </si>
  <si>
    <t>Bảng Thống Kê Số Lượng</t>
  </si>
  <si>
    <t>Điều kiện</t>
  </si>
  <si>
    <t>Loại</t>
  </si>
  <si>
    <t>Tb</t>
  </si>
  <si>
    <t>Yếu</t>
  </si>
  <si>
    <t>Có 5 môn từ 8,0 trở lên, các môn còn lại từ 6,5 trở lên.</t>
  </si>
  <si>
    <t>Có 5 môn từ 6,5 trở lên, các môn còn lại từ 5,0 trở lên.</t>
  </si>
  <si>
    <t>Có 5 môn từ 5,0 trở lên, các môn còn lại từ 3,5 trở lên.</t>
  </si>
  <si>
    <t>Các trường hợp còn lại</t>
  </si>
  <si>
    <t>GIỎI</t>
  </si>
  <si>
    <t>15 Quyển tập</t>
  </si>
  <si>
    <t>KHÁ</t>
  </si>
  <si>
    <t>5 Quyển tập</t>
  </si>
  <si>
    <t>Yêu cầu :</t>
  </si>
  <si>
    <r>
      <t>1.</t>
    </r>
    <r>
      <rPr>
        <sz val="7"/>
        <rFont val="Times New Roman"/>
        <family val="1"/>
      </rPr>
      <t xml:space="preserve">      </t>
    </r>
    <r>
      <rPr>
        <sz val="13"/>
        <rFont val="Times New Roman"/>
        <family val="1"/>
      </rPr>
      <t xml:space="preserve">Đổi tên Sheet hiện hành thành tên </t>
    </r>
    <r>
      <rPr>
        <b/>
        <sz val="13"/>
        <rFont val="Times New Roman"/>
        <family val="1"/>
      </rPr>
      <t>XEPLOAI_HKI</t>
    </r>
    <r>
      <rPr>
        <sz val="13"/>
        <rFont val="Times New Roman"/>
        <family val="1"/>
      </rPr>
      <t>.</t>
    </r>
  </si>
  <si>
    <r>
      <t>2.</t>
    </r>
    <r>
      <rPr>
        <sz val="7"/>
        <rFont val="Times New Roman"/>
        <family val="1"/>
      </rPr>
      <t xml:space="preserve">      </t>
    </r>
    <r>
      <rPr>
        <sz val="13"/>
        <rFont val="Times New Roman"/>
        <family val="1"/>
      </rPr>
      <t xml:space="preserve">Chèn vào giữa cột </t>
    </r>
    <r>
      <rPr>
        <b/>
        <sz val="13"/>
        <rFont val="Times New Roman"/>
        <family val="1"/>
      </rPr>
      <t>Sinh</t>
    </r>
    <r>
      <rPr>
        <sz val="13"/>
        <rFont val="Times New Roman"/>
        <family val="1"/>
      </rPr>
      <t xml:space="preserve"> và </t>
    </r>
    <r>
      <rPr>
        <b/>
        <sz val="13"/>
        <rFont val="Times New Roman"/>
        <family val="1"/>
      </rPr>
      <t>ĐTB</t>
    </r>
    <r>
      <rPr>
        <sz val="13"/>
        <rFont val="Times New Roman"/>
        <family val="1"/>
      </rPr>
      <t xml:space="preserve"> các cột : </t>
    </r>
    <r>
      <rPr>
        <b/>
        <sz val="13"/>
        <rFont val="Times New Roman"/>
        <family val="1"/>
      </rPr>
      <t>Văn, Sử, Địa</t>
    </r>
    <r>
      <rPr>
        <sz val="13"/>
        <rFont val="Times New Roman"/>
        <family val="1"/>
      </rPr>
      <t xml:space="preserve">. Sau đó tự tay điền điểm (có giá trị từ 0 đến 10) váo các cột này. </t>
    </r>
  </si>
  <si>
    <r>
      <t>3.</t>
    </r>
    <r>
      <rPr>
        <sz val="7"/>
        <rFont val="Times New Roman"/>
        <family val="1"/>
      </rPr>
      <t xml:space="preserve">      </t>
    </r>
    <r>
      <rPr>
        <sz val="13"/>
        <rFont val="Times New Roman"/>
        <family val="1"/>
      </rPr>
      <t xml:space="preserve">Tính cột </t>
    </r>
    <r>
      <rPr>
        <b/>
        <sz val="13"/>
        <rFont val="Times New Roman"/>
        <family val="1"/>
      </rPr>
      <t>ĐTB: Văn, Toán</t>
    </r>
    <r>
      <rPr>
        <sz val="13"/>
        <rFont val="Times New Roman"/>
        <family val="1"/>
      </rPr>
      <t xml:space="preserve"> có hệ số 2, các môn còn lại hệ số 1 và làm tròn đến 2 số lẻ.</t>
    </r>
  </si>
  <si>
    <r>
      <t>4.</t>
    </r>
    <r>
      <rPr>
        <sz val="7"/>
        <rFont val="Times New Roman"/>
        <family val="1"/>
      </rPr>
      <t xml:space="preserve">      </t>
    </r>
    <r>
      <rPr>
        <sz val="13"/>
        <rFont val="Times New Roman"/>
        <family val="1"/>
      </rPr>
      <t xml:space="preserve">Tính </t>
    </r>
    <r>
      <rPr>
        <b/>
        <sz val="13"/>
        <rFont val="Times New Roman"/>
        <family val="1"/>
      </rPr>
      <t>Xếp Loại</t>
    </r>
    <r>
      <rPr>
        <sz val="13"/>
        <rFont val="Times New Roman"/>
        <family val="1"/>
      </rPr>
      <t xml:space="preserve"> căn cứ vào điểm các môn và bảng điều kiện.</t>
    </r>
  </si>
  <si>
    <r>
      <t>5.</t>
    </r>
    <r>
      <rPr>
        <sz val="7"/>
        <rFont val="Times New Roman"/>
        <family val="1"/>
      </rPr>
      <t xml:space="preserve">      </t>
    </r>
    <r>
      <rPr>
        <sz val="13"/>
        <rFont val="Times New Roman"/>
        <family val="1"/>
      </rPr>
      <t xml:space="preserve">Phần thưởng : Nếu có loại Giỏi thì được </t>
    </r>
    <r>
      <rPr>
        <b/>
        <sz val="13"/>
        <rFont val="Times New Roman"/>
        <family val="1"/>
      </rPr>
      <t>15 quyển tập</t>
    </r>
    <r>
      <rPr>
        <sz val="13"/>
        <rFont val="Times New Roman"/>
        <family val="1"/>
      </rPr>
      <t xml:space="preserve">, loại Khá thì được </t>
    </r>
    <r>
      <rPr>
        <b/>
        <sz val="13"/>
        <rFont val="Times New Roman"/>
        <family val="1"/>
      </rPr>
      <t>5 quyển.</t>
    </r>
  </si>
  <si>
    <r>
      <t>6.</t>
    </r>
    <r>
      <rPr>
        <sz val="7"/>
        <rFont val="Times New Roman"/>
        <family val="1"/>
      </rPr>
      <t xml:space="preserve">      </t>
    </r>
    <r>
      <rPr>
        <sz val="13"/>
        <rFont val="Times New Roman"/>
        <family val="1"/>
      </rPr>
      <t xml:space="preserve">Tính bảng thống kê trên và vẽ đồ thị dạng </t>
    </r>
    <r>
      <rPr>
        <b/>
        <sz val="13"/>
        <rFont val="Times New Roman"/>
        <family val="1"/>
      </rPr>
      <t>PIE</t>
    </r>
    <r>
      <rPr>
        <sz val="13"/>
        <rFont val="Times New Roman"/>
        <family val="1"/>
      </rPr>
      <t xml:space="preserve"> cho hiển thị nhãn (label) và tỉ lệ phần trăm của từng loại tổng số học sinh, để biểu diễn số liệu thống kê này.</t>
    </r>
  </si>
  <si>
    <r>
      <t>7.</t>
    </r>
    <r>
      <rPr>
        <sz val="7"/>
        <rFont val="Times New Roman"/>
        <family val="1"/>
      </rPr>
      <t xml:space="preserve">      </t>
    </r>
    <r>
      <rPr>
        <sz val="13"/>
        <rFont val="Times New Roman"/>
        <family val="1"/>
      </rPr>
      <t xml:space="preserve">Sắp xếp bảng tính giảm dần theo </t>
    </r>
    <r>
      <rPr>
        <b/>
        <sz val="13"/>
        <rFont val="Times New Roman"/>
        <family val="1"/>
      </rPr>
      <t>ĐTB</t>
    </r>
    <r>
      <rPr>
        <sz val="13"/>
        <rFont val="Times New Roman"/>
        <family val="1"/>
      </rPr>
      <t xml:space="preserve"> và</t>
    </r>
    <r>
      <rPr>
        <b/>
        <sz val="13"/>
        <rFont val="Times New Roman"/>
        <family val="1"/>
      </rPr>
      <t xml:space="preserve"> tên</t>
    </r>
    <r>
      <rPr>
        <sz val="13"/>
        <rFont val="Times New Roman"/>
        <family val="1"/>
      </rPr>
      <t xml:space="preserve"> theo thứ tự từ </t>
    </r>
    <r>
      <rPr>
        <b/>
        <sz val="13"/>
        <rFont val="Times New Roman"/>
        <family val="1"/>
      </rPr>
      <t>A đến Z</t>
    </r>
    <r>
      <rPr>
        <sz val="13"/>
        <rFont val="Times New Roman"/>
        <family val="1"/>
      </rPr>
      <t>.</t>
    </r>
  </si>
  <si>
    <r>
      <t>8.</t>
    </r>
    <r>
      <rPr>
        <sz val="7"/>
        <rFont val="Times New Roman"/>
        <family val="1"/>
      </rPr>
      <t xml:space="preserve">      </t>
    </r>
    <r>
      <rPr>
        <sz val="13"/>
        <rFont val="Times New Roman"/>
        <family val="1"/>
      </rPr>
      <t xml:space="preserve">Thiết lập điều kiện rút trích và rút trích ra những học sinh có loại </t>
    </r>
    <r>
      <rPr>
        <b/>
        <sz val="13"/>
        <rFont val="Times New Roman"/>
        <family val="1"/>
      </rPr>
      <t>Giỏi và Khá</t>
    </r>
    <r>
      <rPr>
        <sz val="13"/>
        <rFont val="Times New Roman"/>
        <family val="1"/>
      </rPr>
      <t>.</t>
    </r>
  </si>
  <si>
    <t>BẢNG KÊ HÀNG HÓA TỒN KHO QUÝ 3 NĂM 2000</t>
  </si>
  <si>
    <t xml:space="preserve">Tên hàng </t>
  </si>
  <si>
    <t>Khu vực</t>
  </si>
  <si>
    <t>BẢNG THUẾ SUẤT</t>
  </si>
  <si>
    <t>Ghế đệm</t>
  </si>
  <si>
    <t xml:space="preserve">Khu vực </t>
  </si>
  <si>
    <t>Thuế suất</t>
  </si>
  <si>
    <t>Bàn gỗ</t>
  </si>
  <si>
    <t>Bàn bureau</t>
  </si>
  <si>
    <t>Ghế salon</t>
  </si>
  <si>
    <t>1 Total</t>
  </si>
  <si>
    <t>Ghế đôn</t>
  </si>
  <si>
    <t>Ghế mây</t>
  </si>
  <si>
    <t>BẢNG THỐNG KÊ KHU VỰC</t>
  </si>
  <si>
    <t>Bàn mica</t>
  </si>
  <si>
    <t>2 Total</t>
  </si>
  <si>
    <t xml:space="preserve">Ghế đẩu </t>
  </si>
  <si>
    <t>Bàn tròn</t>
  </si>
  <si>
    <t>3 Total</t>
  </si>
  <si>
    <t xml:space="preserve">Bàn dài </t>
  </si>
  <si>
    <t>Bàn cắt</t>
  </si>
  <si>
    <t>4 Total</t>
  </si>
  <si>
    <t>Grand Total</t>
  </si>
  <si>
    <t>YÊU CẦU:</t>
  </si>
  <si>
    <t>1. Tính các cột trị giá, thuế và tổng cộng, cho biết</t>
  </si>
  <si>
    <t>- Trị giá = Số lượng * Đơn giá.</t>
  </si>
  <si>
    <t>- Thuế = Trị giá * Thuế suất. Thuế suất cho mỗi khu vực là khác nhau và được cho cụ thể trong bảng thuế suất</t>
  </si>
  <si>
    <t>- Tổng cộng = Trị giá + Thuế</t>
  </si>
  <si>
    <t>2. Xác định Trị giá, Tiền thuế và Tổng cộng của từng khu vực vào Bảng thống kê.</t>
  </si>
  <si>
    <t>3. Định dạng bảng tính đã cho theo mẫu. Định dạng các ô chứa giá trị số có dấu phân cách hàng nghìn. Làm tròn cột Tổng cộng đến hàng trăm.</t>
  </si>
  <si>
    <t>4. Sắp xếp Bảng kê hàng hoá tồn kho tăng dần theo khu vực.</t>
  </si>
  <si>
    <t>5. Tổng hợp (Subtotal) các cột Trị giá, Thuế và Tổng cộng theo khu vực.</t>
  </si>
  <si>
    <t>Sở Thuỷ Sản TP</t>
  </si>
  <si>
    <t>BÁO CÁO TÌNH HÌNH KINH DOANH</t>
  </si>
  <si>
    <t>NgayCT</t>
  </si>
  <si>
    <t>MaHang</t>
  </si>
  <si>
    <t>TenHang</t>
  </si>
  <si>
    <t>Loai</t>
  </si>
  <si>
    <t>NhapKho</t>
  </si>
  <si>
    <t>XuatKho</t>
  </si>
  <si>
    <t>TonKho</t>
  </si>
  <si>
    <t>T-1</t>
  </si>
  <si>
    <t>Tôm</t>
  </si>
  <si>
    <t>Mực</t>
  </si>
  <si>
    <t>Bào Ngư</t>
  </si>
  <si>
    <t>N*</t>
  </si>
  <si>
    <t>C-2</t>
  </si>
  <si>
    <t>Cá</t>
  </si>
  <si>
    <t>Nghêu</t>
  </si>
  <si>
    <t>M-3</t>
  </si>
  <si>
    <t>B-2</t>
  </si>
  <si>
    <t>M-1</t>
  </si>
  <si>
    <t>&gt;=500</t>
  </si>
  <si>
    <t>N-1</t>
  </si>
  <si>
    <t>T-3</t>
  </si>
  <si>
    <t>B-3</t>
  </si>
  <si>
    <t>N-2</t>
  </si>
  <si>
    <t>C-1</t>
  </si>
  <si>
    <t>Hoàn thành Bảng thống kê sau (Thay các dấu ? bằng các công thức)</t>
  </si>
  <si>
    <t>Kết Quả</t>
  </si>
  <si>
    <t>KQ 
Tham Khảo</t>
  </si>
  <si>
    <r>
      <t xml:space="preserve">Có bao nhiêu mặt hàng có </t>
    </r>
    <r>
      <rPr>
        <b/>
        <sz val="12"/>
        <color indexed="53"/>
        <rFont val="Times New Roman"/>
        <family val="1"/>
      </rPr>
      <t>MaHang</t>
    </r>
    <r>
      <rPr>
        <sz val="12"/>
        <rFont val="Times New Roman"/>
        <family val="1"/>
      </rPr>
      <t xml:space="preserve"> bắt đầu bằng </t>
    </r>
    <r>
      <rPr>
        <b/>
        <sz val="12"/>
        <color indexed="53"/>
        <rFont val="Times New Roman"/>
        <family val="1"/>
      </rPr>
      <t>chữ T</t>
    </r>
    <r>
      <rPr>
        <sz val="12"/>
        <rFont val="Times New Roman"/>
        <family val="1"/>
      </rPr>
      <t xml:space="preserve">? </t>
    </r>
  </si>
  <si>
    <r>
      <t xml:space="preserve">Đếm xem có bao nhiêu mặt hàng </t>
    </r>
    <r>
      <rPr>
        <b/>
        <sz val="12"/>
        <color indexed="16"/>
        <rFont val="Times New Roman"/>
        <family val="1"/>
      </rPr>
      <t>Loai 2</t>
    </r>
    <r>
      <rPr>
        <sz val="12"/>
        <rFont val="Times New Roman"/>
        <family val="1"/>
      </rPr>
      <t>?</t>
    </r>
  </si>
  <si>
    <r>
      <t>Tổng</t>
    </r>
    <r>
      <rPr>
        <sz val="12"/>
        <color indexed="12"/>
        <rFont val="Times New Roman"/>
        <family val="1"/>
      </rPr>
      <t xml:space="preserve"> </t>
    </r>
    <r>
      <rPr>
        <b/>
        <sz val="12"/>
        <color indexed="12"/>
        <rFont val="Times New Roman"/>
        <family val="1"/>
      </rPr>
      <t>NhapKho</t>
    </r>
    <r>
      <rPr>
        <sz val="12"/>
        <rFont val="Times New Roman"/>
        <family val="1"/>
      </rPr>
      <t xml:space="preserve"> của các mặt hàng </t>
    </r>
    <r>
      <rPr>
        <b/>
        <sz val="12"/>
        <color indexed="12"/>
        <rFont val="Times New Roman"/>
        <family val="1"/>
      </rPr>
      <t>Loai 3</t>
    </r>
    <r>
      <rPr>
        <sz val="12"/>
        <rFont val="Times New Roman"/>
        <family val="1"/>
      </rPr>
      <t xml:space="preserve"> là bao nhiêu?</t>
    </r>
  </si>
  <si>
    <r>
      <t xml:space="preserve">Tổng </t>
    </r>
    <r>
      <rPr>
        <b/>
        <sz val="12"/>
        <color indexed="61"/>
        <rFont val="Times New Roman"/>
        <family val="1"/>
      </rPr>
      <t>XuatKho</t>
    </r>
    <r>
      <rPr>
        <sz val="12"/>
        <rFont val="Times New Roman"/>
        <family val="1"/>
      </rPr>
      <t xml:space="preserve"> của các mặt hàng </t>
    </r>
    <r>
      <rPr>
        <b/>
        <sz val="12"/>
        <color indexed="61"/>
        <rFont val="Times New Roman"/>
        <family val="1"/>
      </rPr>
      <t>Tôm</t>
    </r>
    <r>
      <rPr>
        <sz val="12"/>
        <rFont val="Times New Roman"/>
        <family val="1"/>
      </rPr>
      <t xml:space="preserve"> là bao nhiêu?</t>
    </r>
  </si>
  <si>
    <r>
      <t xml:space="preserve">Giá trị nhỏ nhất </t>
    </r>
    <r>
      <rPr>
        <b/>
        <sz val="12"/>
        <color indexed="60"/>
        <rFont val="Times New Roman"/>
        <family val="1"/>
      </rPr>
      <t>TonKho</t>
    </r>
    <r>
      <rPr>
        <sz val="12"/>
        <rFont val="Times New Roman"/>
        <family val="1"/>
      </rPr>
      <t xml:space="preserve"> của các mặt hàng </t>
    </r>
    <r>
      <rPr>
        <b/>
        <sz val="12"/>
        <color indexed="60"/>
        <rFont val="Times New Roman"/>
        <family val="1"/>
      </rPr>
      <t>Loai 2</t>
    </r>
    <r>
      <rPr>
        <sz val="12"/>
        <rFont val="Times New Roman"/>
        <family val="1"/>
      </rPr>
      <t xml:space="preserve"> là bao nhiêu?</t>
    </r>
  </si>
  <si>
    <r>
      <t xml:space="preserve">Giá trị lớn nhất </t>
    </r>
    <r>
      <rPr>
        <b/>
        <sz val="12"/>
        <color indexed="48"/>
        <rFont val="Times New Roman"/>
        <family val="1"/>
      </rPr>
      <t>XuatKho</t>
    </r>
    <r>
      <rPr>
        <sz val="12"/>
        <rFont val="Times New Roman"/>
        <family val="1"/>
      </rPr>
      <t xml:space="preserve"> của mặt hàng </t>
    </r>
    <r>
      <rPr>
        <b/>
        <sz val="12"/>
        <color indexed="48"/>
        <rFont val="Times New Roman"/>
        <family val="1"/>
      </rPr>
      <t>Mực</t>
    </r>
    <r>
      <rPr>
        <sz val="12"/>
        <rFont val="Times New Roman"/>
        <family val="1"/>
      </rPr>
      <t xml:space="preserve"> là bao nhiêu?</t>
    </r>
  </si>
  <si>
    <t>Câu 7</t>
  </si>
  <si>
    <r>
      <t xml:space="preserve">Tổng </t>
    </r>
    <r>
      <rPr>
        <b/>
        <sz val="12"/>
        <color indexed="53"/>
        <rFont val="Times New Roman"/>
        <family val="1"/>
      </rPr>
      <t>TonKho</t>
    </r>
    <r>
      <rPr>
        <sz val="12"/>
        <rFont val="Times New Roman"/>
        <family val="1"/>
      </rPr>
      <t xml:space="preserve"> của các mặt hàng </t>
    </r>
    <r>
      <rPr>
        <b/>
        <sz val="12"/>
        <color indexed="53"/>
        <rFont val="Times New Roman"/>
        <family val="1"/>
      </rPr>
      <t xml:space="preserve">Loai 1 </t>
    </r>
    <r>
      <rPr>
        <sz val="12"/>
        <rFont val="Times New Roman"/>
        <family val="1"/>
      </rPr>
      <t>và</t>
    </r>
    <r>
      <rPr>
        <b/>
        <sz val="12"/>
        <color indexed="53"/>
        <rFont val="Times New Roman"/>
        <family val="1"/>
      </rPr>
      <t xml:space="preserve"> Loai 2</t>
    </r>
    <r>
      <rPr>
        <sz val="12"/>
        <rFont val="Times New Roman"/>
        <family val="1"/>
      </rPr>
      <t xml:space="preserve"> là bao nhiêu?</t>
    </r>
  </si>
  <si>
    <t>Câu 8</t>
  </si>
  <si>
    <r>
      <t xml:space="preserve">Tổng </t>
    </r>
    <r>
      <rPr>
        <b/>
        <sz val="12"/>
        <color indexed="21"/>
        <rFont val="Times New Roman"/>
        <family val="1"/>
      </rPr>
      <t>NhapKho</t>
    </r>
    <r>
      <rPr>
        <sz val="12"/>
        <rFont val="Times New Roman"/>
        <family val="1"/>
      </rPr>
      <t xml:space="preserve"> và </t>
    </r>
    <r>
      <rPr>
        <b/>
        <sz val="12"/>
        <color indexed="21"/>
        <rFont val="Times New Roman"/>
        <family val="1"/>
      </rPr>
      <t>XuatKho</t>
    </r>
    <r>
      <rPr>
        <sz val="12"/>
        <rFont val="Times New Roman"/>
        <family val="1"/>
      </rPr>
      <t xml:space="preserve"> của các mặt hàng </t>
    </r>
    <r>
      <rPr>
        <b/>
        <sz val="12"/>
        <color indexed="21"/>
        <rFont val="Times New Roman"/>
        <family val="1"/>
      </rPr>
      <t>Loai 3</t>
    </r>
    <r>
      <rPr>
        <sz val="12"/>
        <rFont val="Times New Roman"/>
        <family val="1"/>
      </rPr>
      <t xml:space="preserve"> là bao nhiêu?</t>
    </r>
  </si>
  <si>
    <t>Câu 9</t>
  </si>
  <si>
    <r>
      <t xml:space="preserve">Tổng </t>
    </r>
    <r>
      <rPr>
        <b/>
        <sz val="12"/>
        <color indexed="48"/>
        <rFont val="Times New Roman"/>
        <family val="1"/>
      </rPr>
      <t>TonKho</t>
    </r>
    <r>
      <rPr>
        <sz val="12"/>
        <rFont val="Times New Roman"/>
        <family val="1"/>
      </rPr>
      <t xml:space="preserve"> của mặt hàng </t>
    </r>
    <r>
      <rPr>
        <b/>
        <sz val="12"/>
        <color indexed="48"/>
        <rFont val="Times New Roman"/>
        <family val="1"/>
      </rPr>
      <t>Bào Ngư</t>
    </r>
    <r>
      <rPr>
        <sz val="12"/>
        <rFont val="Times New Roman"/>
        <family val="1"/>
      </rPr>
      <t xml:space="preserve"> và </t>
    </r>
    <r>
      <rPr>
        <b/>
        <sz val="12"/>
        <color indexed="48"/>
        <rFont val="Times New Roman"/>
        <family val="1"/>
      </rPr>
      <t>Nghêu</t>
    </r>
    <r>
      <rPr>
        <sz val="12"/>
        <rFont val="Times New Roman"/>
        <family val="1"/>
      </rPr>
      <t xml:space="preserve"> là bao nhiêu?</t>
    </r>
  </si>
  <si>
    <t>Câu 10</t>
  </si>
  <si>
    <r>
      <t xml:space="preserve">Tỷ lệ phần trăm giữa </t>
    </r>
    <r>
      <rPr>
        <b/>
        <sz val="12"/>
        <color indexed="53"/>
        <rFont val="Times New Roman"/>
        <family val="1"/>
      </rPr>
      <t>XuatKho</t>
    </r>
    <r>
      <rPr>
        <sz val="12"/>
        <rFont val="Times New Roman"/>
        <family val="1"/>
      </rPr>
      <t xml:space="preserve"> và</t>
    </r>
    <r>
      <rPr>
        <b/>
        <sz val="12"/>
        <color indexed="53"/>
        <rFont val="Times New Roman"/>
        <family val="1"/>
      </rPr>
      <t xml:space="preserve"> NhapKho</t>
    </r>
    <r>
      <rPr>
        <sz val="12"/>
        <rFont val="Times New Roman"/>
        <family val="1"/>
      </rPr>
      <t xml:space="preserve"> của mặt hàng </t>
    </r>
    <r>
      <rPr>
        <b/>
        <sz val="12"/>
        <color indexed="12"/>
        <rFont val="Times New Roman"/>
        <family val="1"/>
      </rPr>
      <t>Cá</t>
    </r>
    <r>
      <rPr>
        <sz val="12"/>
        <rFont val="Times New Roman"/>
        <family val="1"/>
      </rPr>
      <t xml:space="preserve"> là bao nhiêu?</t>
    </r>
  </si>
  <si>
    <t>Câu 11</t>
  </si>
  <si>
    <r>
      <t xml:space="preserve">Tổng </t>
    </r>
    <r>
      <rPr>
        <b/>
        <sz val="12"/>
        <color indexed="61"/>
        <rFont val="Times New Roman"/>
        <family val="1"/>
      </rPr>
      <t>XuatKho</t>
    </r>
    <r>
      <rPr>
        <sz val="12"/>
        <rFont val="Times New Roman"/>
        <family val="1"/>
      </rPr>
      <t xml:space="preserve"> của mặt hàng </t>
    </r>
    <r>
      <rPr>
        <b/>
        <sz val="12"/>
        <color indexed="61"/>
        <rFont val="Times New Roman"/>
        <family val="1"/>
      </rPr>
      <t>Tôm Loai 1</t>
    </r>
    <r>
      <rPr>
        <sz val="12"/>
        <rFont val="Times New Roman"/>
        <family val="1"/>
      </rPr>
      <t xml:space="preserve"> và</t>
    </r>
    <r>
      <rPr>
        <b/>
        <sz val="12"/>
        <color indexed="61"/>
        <rFont val="Times New Roman"/>
        <family val="1"/>
      </rPr>
      <t xml:space="preserve"> Mực Loai 3</t>
    </r>
    <r>
      <rPr>
        <sz val="12"/>
        <rFont val="Times New Roman"/>
        <family val="1"/>
      </rPr>
      <t xml:space="preserve"> là bao nhiêu?</t>
    </r>
  </si>
  <si>
    <t>Câu 12</t>
  </si>
  <si>
    <r>
      <t xml:space="preserve">Tổng </t>
    </r>
    <r>
      <rPr>
        <b/>
        <sz val="12"/>
        <color indexed="10"/>
        <rFont val="Times New Roman"/>
        <family val="1"/>
      </rPr>
      <t>NhapKho</t>
    </r>
    <r>
      <rPr>
        <sz val="12"/>
        <rFont val="Times New Roman"/>
        <family val="1"/>
      </rPr>
      <t xml:space="preserve"> của </t>
    </r>
    <r>
      <rPr>
        <b/>
        <sz val="12"/>
        <color indexed="21"/>
        <rFont val="Times New Roman"/>
        <family val="1"/>
      </rPr>
      <t>Nghêu</t>
    </r>
    <r>
      <rPr>
        <sz val="12"/>
        <rFont val="Times New Roman"/>
        <family val="1"/>
      </rPr>
      <t xml:space="preserve"> và </t>
    </r>
    <r>
      <rPr>
        <b/>
        <sz val="12"/>
        <color indexed="21"/>
        <rFont val="Times New Roman"/>
        <family val="1"/>
      </rPr>
      <t>Bào Ngư loại 2</t>
    </r>
    <r>
      <rPr>
        <sz val="12"/>
        <rFont val="Times New Roman"/>
        <family val="1"/>
      </rPr>
      <t xml:space="preserve"> là bao nhiêu?</t>
    </r>
  </si>
  <si>
    <t>Câu 13</t>
  </si>
  <si>
    <r>
      <t xml:space="preserve">Tỷ lệ phần trăm </t>
    </r>
    <r>
      <rPr>
        <b/>
        <sz val="12"/>
        <color indexed="10"/>
        <rFont val="Times New Roman"/>
        <family val="1"/>
      </rPr>
      <t>TonKho</t>
    </r>
    <r>
      <rPr>
        <sz val="12"/>
        <rFont val="Times New Roman"/>
        <family val="1"/>
      </rPr>
      <t xml:space="preserve"> giữa mặt hàng </t>
    </r>
    <r>
      <rPr>
        <b/>
        <sz val="12"/>
        <color indexed="10"/>
        <rFont val="Times New Roman"/>
        <family val="1"/>
      </rPr>
      <t>Mực</t>
    </r>
    <r>
      <rPr>
        <sz val="12"/>
        <rFont val="Times New Roman"/>
        <family val="1"/>
      </rPr>
      <t xml:space="preserve"> và </t>
    </r>
    <r>
      <rPr>
        <b/>
        <sz val="12"/>
        <color indexed="10"/>
        <rFont val="Times New Roman"/>
        <family val="1"/>
      </rPr>
      <t>Cá</t>
    </r>
    <r>
      <rPr>
        <sz val="12"/>
        <rFont val="Times New Roman"/>
        <family val="1"/>
      </rPr>
      <t xml:space="preserve"> là bao nhiêu?</t>
    </r>
  </si>
  <si>
    <t>Câu 14</t>
  </si>
  <si>
    <r>
      <t xml:space="preserve">Giá trị </t>
    </r>
    <r>
      <rPr>
        <b/>
        <sz val="12"/>
        <color indexed="48"/>
        <rFont val="Times New Roman"/>
        <family val="1"/>
      </rPr>
      <t>NhapKho</t>
    </r>
    <r>
      <rPr>
        <sz val="12"/>
        <rFont val="Times New Roman"/>
        <family val="1"/>
      </rPr>
      <t xml:space="preserve"> nhỏ nhất của các mặt hàng có </t>
    </r>
    <r>
      <rPr>
        <b/>
        <sz val="12"/>
        <color indexed="48"/>
        <rFont val="Times New Roman"/>
        <family val="1"/>
      </rPr>
      <t>TonKho &gt;=500</t>
    </r>
    <r>
      <rPr>
        <sz val="12"/>
        <rFont val="Times New Roman"/>
        <family val="1"/>
      </rPr>
      <t xml:space="preserve"> là bao nhiêu?</t>
    </r>
  </si>
  <si>
    <t>Câu 15</t>
  </si>
  <si>
    <r>
      <t xml:space="preserve">Tổng </t>
    </r>
    <r>
      <rPr>
        <b/>
        <sz val="12"/>
        <color indexed="53"/>
        <rFont val="Times New Roman"/>
        <family val="1"/>
      </rPr>
      <t>TonKho</t>
    </r>
    <r>
      <rPr>
        <sz val="12"/>
        <rFont val="Times New Roman"/>
        <family val="1"/>
      </rPr>
      <t xml:space="preserve"> của các mặt hàng có </t>
    </r>
    <r>
      <rPr>
        <b/>
        <sz val="12"/>
        <color indexed="53"/>
        <rFont val="Times New Roman"/>
        <family val="1"/>
      </rPr>
      <t xml:space="preserve">NhapKho &lt;500 </t>
    </r>
    <r>
      <rPr>
        <sz val="12"/>
        <rFont val="Times New Roman"/>
        <family val="1"/>
      </rPr>
      <t xml:space="preserve">hoặc </t>
    </r>
    <r>
      <rPr>
        <b/>
        <sz val="12"/>
        <color indexed="53"/>
        <rFont val="Times New Roman"/>
        <family val="1"/>
      </rPr>
      <t>XuatKho &gt;=200</t>
    </r>
    <r>
      <rPr>
        <sz val="12"/>
        <rFont val="Times New Roman"/>
        <family val="1"/>
      </rPr>
      <t xml:space="preserve"> là bao nhiêu?</t>
    </r>
  </si>
  <si>
    <t>Câu 16</t>
  </si>
  <si>
    <r>
      <t xml:space="preserve">Giá trị </t>
    </r>
    <r>
      <rPr>
        <b/>
        <sz val="12"/>
        <color indexed="20"/>
        <rFont val="Times New Roman"/>
        <family val="1"/>
      </rPr>
      <t>NhapKho</t>
    </r>
    <r>
      <rPr>
        <sz val="12"/>
        <rFont val="Times New Roman"/>
        <family val="1"/>
      </rPr>
      <t xml:space="preserve"> nhỏ nhất trong </t>
    </r>
    <r>
      <rPr>
        <b/>
        <sz val="12"/>
        <color indexed="10"/>
        <rFont val="Times New Roman"/>
        <family val="1"/>
      </rPr>
      <t>tháng 7</t>
    </r>
    <r>
      <rPr>
        <sz val="12"/>
        <rFont val="Times New Roman"/>
        <family val="1"/>
      </rPr>
      <t xml:space="preserve"> là bao nhiêu? </t>
    </r>
  </si>
  <si>
    <t>Câu 17</t>
  </si>
  <si>
    <r>
      <t xml:space="preserve">Tổng </t>
    </r>
    <r>
      <rPr>
        <b/>
        <sz val="12"/>
        <color indexed="53"/>
        <rFont val="Times New Roman"/>
        <family val="1"/>
      </rPr>
      <t>XuatKho</t>
    </r>
    <r>
      <rPr>
        <sz val="12"/>
        <rFont val="Times New Roman"/>
        <family val="1"/>
      </rPr>
      <t xml:space="preserve"> của các mặt hàng </t>
    </r>
    <r>
      <rPr>
        <b/>
        <sz val="12"/>
        <color indexed="18"/>
        <rFont val="Times New Roman"/>
        <family val="1"/>
      </rPr>
      <t>Loai 1</t>
    </r>
    <r>
      <rPr>
        <sz val="12"/>
        <rFont val="Times New Roman"/>
        <family val="1"/>
      </rPr>
      <t xml:space="preserve"> trong </t>
    </r>
    <r>
      <rPr>
        <b/>
        <sz val="12"/>
        <color indexed="61"/>
        <rFont val="Times New Roman"/>
        <family val="1"/>
      </rPr>
      <t>tháng 10</t>
    </r>
    <r>
      <rPr>
        <sz val="12"/>
        <rFont val="Times New Roman"/>
        <family val="1"/>
      </rPr>
      <t xml:space="preserve"> là bao nhiêu?</t>
    </r>
  </si>
  <si>
    <t>Câu 18</t>
  </si>
  <si>
    <r>
      <t xml:space="preserve">Giá trị </t>
    </r>
    <r>
      <rPr>
        <b/>
        <sz val="12"/>
        <color indexed="12"/>
        <rFont val="Times New Roman"/>
        <family val="1"/>
      </rPr>
      <t>TonKho</t>
    </r>
    <r>
      <rPr>
        <sz val="12"/>
        <rFont val="Times New Roman"/>
        <family val="1"/>
      </rPr>
      <t xml:space="preserve"> lớn nhất từ </t>
    </r>
    <r>
      <rPr>
        <b/>
        <sz val="12"/>
        <color indexed="10"/>
        <rFont val="Times New Roman"/>
        <family val="1"/>
      </rPr>
      <t>ngày 1 đến ngày 15</t>
    </r>
    <r>
      <rPr>
        <sz val="12"/>
        <rFont val="Times New Roman"/>
        <family val="1"/>
      </rPr>
      <t xml:space="preserve"> là bao nhiêu?</t>
    </r>
  </si>
  <si>
    <t>Câu 19</t>
  </si>
  <si>
    <r>
      <t xml:space="preserve">Tổng </t>
    </r>
    <r>
      <rPr>
        <b/>
        <sz val="12"/>
        <color indexed="21"/>
        <rFont val="Times New Roman"/>
        <family val="1"/>
      </rPr>
      <t>NhapKho</t>
    </r>
    <r>
      <rPr>
        <sz val="12"/>
        <rFont val="Times New Roman"/>
        <family val="1"/>
      </rPr>
      <t xml:space="preserve"> của </t>
    </r>
    <r>
      <rPr>
        <b/>
        <sz val="12"/>
        <color indexed="58"/>
        <rFont val="Times New Roman"/>
        <family val="1"/>
      </rPr>
      <t>Quý 4</t>
    </r>
    <r>
      <rPr>
        <sz val="12"/>
        <rFont val="Times New Roman"/>
        <family val="1"/>
      </rPr>
      <t xml:space="preserve"> là bao nhiêu? (</t>
    </r>
    <r>
      <rPr>
        <b/>
        <sz val="12"/>
        <color indexed="10"/>
        <rFont val="Times New Roman"/>
        <family val="1"/>
      </rPr>
      <t>Quý 4</t>
    </r>
    <r>
      <rPr>
        <sz val="12"/>
        <rFont val="Times New Roman"/>
        <family val="1"/>
      </rPr>
      <t xml:space="preserve"> gồm các tháng </t>
    </r>
    <r>
      <rPr>
        <b/>
        <sz val="12"/>
        <color indexed="58"/>
        <rFont val="Times New Roman"/>
        <family val="1"/>
      </rPr>
      <t>10</t>
    </r>
    <r>
      <rPr>
        <sz val="12"/>
        <rFont val="Times New Roman"/>
        <family val="1"/>
      </rPr>
      <t>,</t>
    </r>
    <r>
      <rPr>
        <b/>
        <sz val="12"/>
        <color indexed="58"/>
        <rFont val="Times New Roman"/>
        <family val="1"/>
      </rPr>
      <t>11</t>
    </r>
    <r>
      <rPr>
        <sz val="12"/>
        <rFont val="Times New Roman"/>
        <family val="1"/>
      </rPr>
      <t xml:space="preserve"> và </t>
    </r>
    <r>
      <rPr>
        <b/>
        <sz val="12"/>
        <color indexed="58"/>
        <rFont val="Times New Roman"/>
        <family val="1"/>
      </rPr>
      <t>12</t>
    </r>
    <r>
      <rPr>
        <sz val="12"/>
        <rFont val="Times New Roman"/>
        <family val="1"/>
      </rPr>
      <t>)</t>
    </r>
  </si>
  <si>
    <t>Câu 20</t>
  </si>
  <si>
    <r>
      <t xml:space="preserve">Tổng </t>
    </r>
    <r>
      <rPr>
        <b/>
        <sz val="12"/>
        <color indexed="60"/>
        <rFont val="Times New Roman"/>
        <family val="1"/>
      </rPr>
      <t>NhapKho</t>
    </r>
    <r>
      <rPr>
        <sz val="12"/>
        <rFont val="Times New Roman"/>
        <family val="1"/>
      </rPr>
      <t xml:space="preserve"> và </t>
    </r>
    <r>
      <rPr>
        <b/>
        <sz val="12"/>
        <color indexed="48"/>
        <rFont val="Times New Roman"/>
        <family val="1"/>
      </rPr>
      <t>XuatKho</t>
    </r>
    <r>
      <rPr>
        <sz val="12"/>
        <rFont val="Times New Roman"/>
        <family val="1"/>
      </rPr>
      <t xml:space="preserve"> của các mặt hàng trong ngày </t>
    </r>
    <r>
      <rPr>
        <b/>
        <sz val="12"/>
        <color indexed="58"/>
        <rFont val="Times New Roman"/>
        <family val="1"/>
      </rPr>
      <t xml:space="preserve">Thứ Bảy </t>
    </r>
    <r>
      <rPr>
        <sz val="12"/>
        <rFont val="Times New Roman"/>
        <family val="1"/>
      </rPr>
      <t xml:space="preserve">và </t>
    </r>
    <r>
      <rPr>
        <b/>
        <sz val="12"/>
        <color indexed="62"/>
        <rFont val="Times New Roman"/>
        <family val="1"/>
      </rPr>
      <t xml:space="preserve">Chủ Nhật </t>
    </r>
    <r>
      <rPr>
        <sz val="12"/>
        <rFont val="Times New Roman"/>
        <family val="1"/>
      </rPr>
      <t>là bao nhiêu?</t>
    </r>
  </si>
  <si>
    <t>Hãy sắp xếp danh sách theo yêu cầu sau:</t>
  </si>
  <si>
    <r>
      <t xml:space="preserve">Tăng dần theo </t>
    </r>
    <r>
      <rPr>
        <b/>
        <sz val="12"/>
        <color indexed="10"/>
        <rFont val="Times New Roman"/>
        <family val="1"/>
      </rPr>
      <t>NgayCT</t>
    </r>
  </si>
  <si>
    <r>
      <t xml:space="preserve">Giảm dần theo </t>
    </r>
    <r>
      <rPr>
        <b/>
        <sz val="12"/>
        <color indexed="56"/>
        <rFont val="Times New Roman"/>
        <family val="1"/>
      </rPr>
      <t>TenHang</t>
    </r>
  </si>
  <si>
    <r>
      <t xml:space="preserve">Giảm dần theo </t>
    </r>
    <r>
      <rPr>
        <b/>
        <sz val="12"/>
        <color indexed="53"/>
        <rFont val="Times New Roman"/>
        <family val="1"/>
      </rPr>
      <t>Loai</t>
    </r>
    <r>
      <rPr>
        <sz val="12"/>
        <rFont val="Times New Roman"/>
        <family val="1"/>
      </rPr>
      <t xml:space="preserve">, nếu </t>
    </r>
    <r>
      <rPr>
        <b/>
        <sz val="12"/>
        <color indexed="53"/>
        <rFont val="Times New Roman"/>
        <family val="1"/>
      </rPr>
      <t>Loai</t>
    </r>
    <r>
      <rPr>
        <sz val="12"/>
        <rFont val="Times New Roman"/>
        <family val="1"/>
      </rPr>
      <t xml:space="preserve"> mà trùng thì tăng dần theo </t>
    </r>
    <r>
      <rPr>
        <b/>
        <sz val="12"/>
        <color indexed="12"/>
        <rFont val="Times New Roman"/>
        <family val="1"/>
      </rPr>
      <t>TonKho</t>
    </r>
  </si>
  <si>
    <r>
      <t xml:space="preserve">Tăng dần theo </t>
    </r>
    <r>
      <rPr>
        <b/>
        <sz val="12"/>
        <color indexed="58"/>
        <rFont val="Times New Roman"/>
        <family val="1"/>
      </rPr>
      <t>TenHang</t>
    </r>
    <r>
      <rPr>
        <sz val="12"/>
        <rFont val="Times New Roman"/>
        <family val="1"/>
      </rPr>
      <t xml:space="preserve">, nếu trùng </t>
    </r>
    <r>
      <rPr>
        <b/>
        <sz val="12"/>
        <color indexed="58"/>
        <rFont val="Times New Roman"/>
        <family val="1"/>
      </rPr>
      <t>TenHang</t>
    </r>
    <r>
      <rPr>
        <sz val="12"/>
        <rFont val="Times New Roman"/>
        <family val="1"/>
      </rPr>
      <t xml:space="preserve"> thì giảm dần theo </t>
    </r>
    <r>
      <rPr>
        <b/>
        <sz val="12"/>
        <color indexed="17"/>
        <rFont val="Times New Roman"/>
        <family val="1"/>
      </rPr>
      <t>NhapKho</t>
    </r>
  </si>
  <si>
    <r>
      <t xml:space="preserve">Giảm dần theo </t>
    </r>
    <r>
      <rPr>
        <b/>
        <sz val="12"/>
        <color indexed="10"/>
        <rFont val="Times New Roman"/>
        <family val="1"/>
      </rPr>
      <t>Loai</t>
    </r>
    <r>
      <rPr>
        <sz val="12"/>
        <rFont val="Times New Roman"/>
        <family val="1"/>
      </rPr>
      <t xml:space="preserve">, nếu trùng </t>
    </r>
    <r>
      <rPr>
        <b/>
        <sz val="12"/>
        <color indexed="10"/>
        <rFont val="Times New Roman"/>
        <family val="1"/>
      </rPr>
      <t>Loai</t>
    </r>
    <r>
      <rPr>
        <sz val="12"/>
        <rFont val="Times New Roman"/>
        <family val="1"/>
      </rPr>
      <t xml:space="preserve"> thì tăng dần </t>
    </r>
    <r>
      <rPr>
        <b/>
        <sz val="12"/>
        <color indexed="12"/>
        <rFont val="Times New Roman"/>
        <family val="1"/>
      </rPr>
      <t>TenHang</t>
    </r>
    <r>
      <rPr>
        <sz val="12"/>
        <rFont val="Times New Roman"/>
        <family val="1"/>
      </rPr>
      <t xml:space="preserve">, </t>
    </r>
  </si>
  <si>
    <r>
      <t xml:space="preserve">nếu trùng </t>
    </r>
    <r>
      <rPr>
        <b/>
        <sz val="12"/>
        <color indexed="53"/>
        <rFont val="Times New Roman"/>
        <family val="1"/>
      </rPr>
      <t>TenHang</t>
    </r>
    <r>
      <rPr>
        <sz val="12"/>
        <rFont val="Times New Roman"/>
        <family val="1"/>
      </rPr>
      <t xml:space="preserve"> thì giảm dần theo </t>
    </r>
    <r>
      <rPr>
        <b/>
        <sz val="12"/>
        <color indexed="20"/>
        <rFont val="Times New Roman"/>
        <family val="1"/>
      </rPr>
      <t>NgayCT</t>
    </r>
  </si>
  <si>
    <t>Sử dụng chức năng lọc bằng AutoFilter, hãy lọc ra danh sách:</t>
  </si>
  <si>
    <r>
      <t xml:space="preserve">Các mặt hàng là </t>
    </r>
    <r>
      <rPr>
        <b/>
        <sz val="12"/>
        <color indexed="53"/>
        <rFont val="Times New Roman"/>
        <family val="1"/>
      </rPr>
      <t>Tôm</t>
    </r>
  </si>
  <si>
    <r>
      <t xml:space="preserve">Các mặt hàng có </t>
    </r>
    <r>
      <rPr>
        <b/>
        <sz val="12"/>
        <color indexed="60"/>
        <rFont val="Times New Roman"/>
        <family val="1"/>
      </rPr>
      <t>NhapKho &lt;=500</t>
    </r>
  </si>
  <si>
    <r>
      <t xml:space="preserve">Các mặt hàng </t>
    </r>
    <r>
      <rPr>
        <b/>
        <sz val="12"/>
        <color indexed="10"/>
        <rFont val="Times New Roman"/>
        <family val="1"/>
      </rPr>
      <t>Loai 1</t>
    </r>
    <r>
      <rPr>
        <sz val="12"/>
        <rFont val="Times New Roman"/>
        <family val="1"/>
      </rPr>
      <t xml:space="preserve"> và có </t>
    </r>
    <r>
      <rPr>
        <b/>
        <sz val="12"/>
        <color indexed="12"/>
        <rFont val="Times New Roman"/>
        <family val="1"/>
      </rPr>
      <t>XuatKho&gt;200</t>
    </r>
  </si>
  <si>
    <r>
      <t xml:space="preserve">Các mặt hàng là </t>
    </r>
    <r>
      <rPr>
        <b/>
        <sz val="12"/>
        <color indexed="17"/>
        <rFont val="Times New Roman"/>
        <family val="1"/>
      </rPr>
      <t xml:space="preserve">Bào Ngư </t>
    </r>
    <r>
      <rPr>
        <sz val="12"/>
        <rFont val="Times New Roman"/>
        <family val="1"/>
      </rPr>
      <t xml:space="preserve">hoặc </t>
    </r>
    <r>
      <rPr>
        <b/>
        <sz val="12"/>
        <color indexed="20"/>
        <rFont val="Times New Roman"/>
        <family val="1"/>
      </rPr>
      <t>Tôm</t>
    </r>
  </si>
  <si>
    <r>
      <t xml:space="preserve">Các mặt hàng có </t>
    </r>
    <r>
      <rPr>
        <b/>
        <sz val="12"/>
        <color indexed="10"/>
        <rFont val="Times New Roman"/>
        <family val="1"/>
      </rPr>
      <t>XuatKho &gt; 150</t>
    </r>
    <r>
      <rPr>
        <sz val="12"/>
        <rFont val="Times New Roman"/>
        <family val="1"/>
      </rPr>
      <t xml:space="preserve"> sau ngày </t>
    </r>
    <r>
      <rPr>
        <b/>
        <sz val="12"/>
        <color indexed="56"/>
        <rFont val="Times New Roman"/>
        <family val="1"/>
      </rPr>
      <t>01/06/2003</t>
    </r>
    <r>
      <rPr>
        <b/>
        <sz val="12"/>
        <color indexed="52"/>
        <rFont val="Times New Roman"/>
        <family val="1"/>
      </rPr>
      <t>.</t>
    </r>
  </si>
  <si>
    <t>Sử dụng chức năng lọc bằng Advanced Filter, hãy lọc ra danh sách:</t>
  </si>
  <si>
    <r>
      <t xml:space="preserve">Các mặt hàng </t>
    </r>
    <r>
      <rPr>
        <b/>
        <sz val="12"/>
        <color indexed="10"/>
        <rFont val="Times New Roman"/>
        <family val="1"/>
      </rPr>
      <t>Loai 1</t>
    </r>
  </si>
  <si>
    <r>
      <t xml:space="preserve">Các mặt hàng có </t>
    </r>
    <r>
      <rPr>
        <b/>
        <sz val="12"/>
        <color indexed="10"/>
        <rFont val="Times New Roman"/>
        <family val="1"/>
      </rPr>
      <t>NhapKho &gt;=500</t>
    </r>
    <r>
      <rPr>
        <sz val="12"/>
        <rFont val="Times New Roman"/>
        <family val="1"/>
      </rPr>
      <t xml:space="preserve"> và </t>
    </r>
    <r>
      <rPr>
        <b/>
        <sz val="12"/>
        <color indexed="12"/>
        <rFont val="Times New Roman"/>
        <family val="1"/>
      </rPr>
      <t>TonKho&gt;400</t>
    </r>
  </si>
  <si>
    <r>
      <t xml:space="preserve">Các mặt hàng </t>
    </r>
    <r>
      <rPr>
        <b/>
        <sz val="12"/>
        <color indexed="12"/>
        <rFont val="Times New Roman"/>
        <family val="1"/>
      </rPr>
      <t>Loai 3</t>
    </r>
    <r>
      <rPr>
        <sz val="12"/>
        <rFont val="Times New Roman"/>
        <family val="1"/>
      </rPr>
      <t xml:space="preserve"> và có </t>
    </r>
    <r>
      <rPr>
        <b/>
        <sz val="12"/>
        <color indexed="53"/>
        <rFont val="Times New Roman"/>
        <family val="1"/>
      </rPr>
      <t>XuatKho &lt; 300</t>
    </r>
  </si>
  <si>
    <r>
      <t xml:space="preserve">Các mặt hàng có </t>
    </r>
    <r>
      <rPr>
        <b/>
        <sz val="12"/>
        <color indexed="10"/>
        <rFont val="Times New Roman"/>
        <family val="1"/>
      </rPr>
      <t xml:space="preserve">XuatKho &gt;=250 </t>
    </r>
    <r>
      <rPr>
        <sz val="12"/>
        <rFont val="Times New Roman"/>
        <family val="1"/>
      </rPr>
      <t xml:space="preserve">trong </t>
    </r>
    <r>
      <rPr>
        <b/>
        <sz val="12"/>
        <color indexed="61"/>
        <rFont val="Times New Roman"/>
        <family val="1"/>
      </rPr>
      <t>tháng 10</t>
    </r>
  </si>
  <si>
    <r>
      <t xml:space="preserve">Các mặt hàng có </t>
    </r>
    <r>
      <rPr>
        <b/>
        <sz val="12"/>
        <color indexed="20"/>
        <rFont val="Times New Roman"/>
        <family val="1"/>
      </rPr>
      <t>NhapKho</t>
    </r>
    <r>
      <rPr>
        <sz val="12"/>
        <rFont val="Times New Roman"/>
        <family val="1"/>
      </rPr>
      <t xml:space="preserve">, </t>
    </r>
    <r>
      <rPr>
        <b/>
        <sz val="12"/>
        <color indexed="20"/>
        <rFont val="Times New Roman"/>
        <family val="1"/>
      </rPr>
      <t xml:space="preserve">XuatKho,TonKho&gt;100 </t>
    </r>
  </si>
  <si>
    <r>
      <t xml:space="preserve">trong khoảng thời gian từ </t>
    </r>
    <r>
      <rPr>
        <b/>
        <sz val="12"/>
        <color indexed="16"/>
        <rFont val="Times New Roman"/>
        <family val="1"/>
      </rPr>
      <t>ngày 1 đến ngày 15</t>
    </r>
  </si>
  <si>
    <t>&lt;500</t>
  </si>
  <si>
    <t>&gt;=200</t>
  </si>
  <si>
    <t>ĐIỀU KIỆN 2</t>
  </si>
  <si>
    <t>ĐIỀU KIỆN 3</t>
  </si>
  <si>
    <t>ĐIỀU KIỆN 4</t>
  </si>
  <si>
    <t>ĐIỀU KIỆN 5</t>
  </si>
  <si>
    <t>BẢNG TÊN HÀNG VÀ ĐƠN GIÁ</t>
  </si>
  <si>
    <t>PHÍ CHUYỂN CHO</t>
  </si>
  <si>
    <t>Mã Hàng</t>
  </si>
  <si>
    <t>Tên Hàng</t>
  </si>
  <si>
    <t>Đơn Giá Sĩ</t>
  </si>
  <si>
    <t>Đơn Giá Lẻ</t>
  </si>
  <si>
    <t>Chi Phí Chuyển Cho</t>
  </si>
  <si>
    <t>Thành Tiền</t>
  </si>
  <si>
    <t>SHEET 2.</t>
  </si>
  <si>
    <t>YC</t>
  </si>
  <si>
    <t>Sữa Chua Dừa</t>
  </si>
  <si>
    <t>1. Điền cột tên hàng dựa vào 2 kí tự bên trái của Mã hóa đơn, bảng tên hàng và đơn giá.</t>
  </si>
  <si>
    <t>YD</t>
  </si>
  <si>
    <t>Sữa Chua Chanh</t>
  </si>
  <si>
    <t>2. Tính số thùng và số hộp lẻ dựa vào tổng số hộp, biết rằng mỗi thùng có 24 hộp.</t>
  </si>
  <si>
    <t>YS</t>
  </si>
  <si>
    <t>Sữa Chua Dâu</t>
  </si>
  <si>
    <t>3. Tính cột thành tiền:</t>
  </si>
  <si>
    <t>YT</t>
  </si>
  <si>
    <t>Sữa Tươi TT</t>
  </si>
  <si>
    <t>thành tiền=24*số thùng*đơn giá sĩ+số hộp*đơn giá lẻ</t>
  </si>
  <si>
    <t>YV</t>
  </si>
  <si>
    <t>Sữa Chua Vải</t>
  </si>
  <si>
    <t>E</t>
  </si>
  <si>
    <t>4. Tính cột chuyển cho:</t>
  </si>
  <si>
    <t>chuyển cho=thành tiền*chi phí chuyển cho(dựa vào kí tự bên phải của Mã hóa đơn</t>
  </si>
  <si>
    <t>Cửa Hàng Vinamilk số 1</t>
  </si>
  <si>
    <t>BÁO CÁO DOANH THU</t>
  </si>
  <si>
    <t>5. Tính cột: tổng cộng=thành tiền+chuyển cho</t>
  </si>
  <si>
    <t>QUÍ 2/1997</t>
  </si>
  <si>
    <t>6. Điền vào bảng thống kê</t>
  </si>
  <si>
    <t>Ngày Xuất</t>
  </si>
  <si>
    <t xml:space="preserve">Mã Hóa Đơn </t>
  </si>
  <si>
    <t>Tồng số hộp</t>
  </si>
  <si>
    <t>số thùng</t>
  </si>
  <si>
    <t>số hộp lẻ</t>
  </si>
  <si>
    <t>thành tiền</t>
  </si>
  <si>
    <t>Chuyển Cho</t>
  </si>
  <si>
    <t>7. Dựa vào bảng thống kê dùng đồ thị Pie biểu diễn thành tiền theo tên hàng.</t>
  </si>
  <si>
    <t>YC08A</t>
  </si>
  <si>
    <t>YD09D</t>
  </si>
  <si>
    <t>YS10D</t>
  </si>
  <si>
    <t>YC11B</t>
  </si>
  <si>
    <t>YC13E</t>
  </si>
  <si>
    <t>YV14A</t>
  </si>
  <si>
    <t>YS15A</t>
  </si>
  <si>
    <t>YT16E</t>
  </si>
  <si>
    <t>YT17B</t>
  </si>
  <si>
    <t>YV18E</t>
  </si>
  <si>
    <t>YC09D</t>
  </si>
  <si>
    <t>YC1B</t>
  </si>
  <si>
    <t>số thung</t>
  </si>
  <si>
    <t>Trường PTTH Lý Tự Trọng</t>
  </si>
  <si>
    <t>BẢNG ĐIỂM THI XẾP LOẠI HỌC TẬP</t>
  </si>
  <si>
    <t>Tên
HS</t>
  </si>
  <si>
    <t>Lớp
Chuyên</t>
  </si>
  <si>
    <t>MÔN THI</t>
  </si>
  <si>
    <t>Ghi
Chú</t>
  </si>
  <si>
    <t>Môn
Thi Lại</t>
  </si>
  <si>
    <t>Học
Bổng</t>
  </si>
  <si>
    <t>Trúc</t>
  </si>
  <si>
    <t>Hào</t>
  </si>
  <si>
    <t>Trinh</t>
  </si>
  <si>
    <t>Nhật</t>
  </si>
  <si>
    <t>Thái</t>
  </si>
  <si>
    <r>
      <t xml:space="preserve">Tính </t>
    </r>
    <r>
      <rPr>
        <b/>
        <sz val="12"/>
        <color indexed="10"/>
        <rFont val="Times New Roman"/>
        <family val="1"/>
      </rPr>
      <t>ĐTB</t>
    </r>
    <r>
      <rPr>
        <sz val="12"/>
        <rFont val="Times New Roman"/>
        <family val="1"/>
      </rPr>
      <t xml:space="preserve"> = </t>
    </r>
    <r>
      <rPr>
        <b/>
        <sz val="12"/>
        <color indexed="19"/>
        <rFont val="Times New Roman"/>
        <family val="1"/>
      </rPr>
      <t>Tổng Điểm</t>
    </r>
    <r>
      <rPr>
        <sz val="12"/>
        <rFont val="Times New Roman"/>
        <family val="1"/>
      </rPr>
      <t xml:space="preserve"> / </t>
    </r>
    <r>
      <rPr>
        <b/>
        <sz val="12"/>
        <color indexed="12"/>
        <rFont val="Times New Roman"/>
        <family val="1"/>
      </rPr>
      <t>Tổng Hệ</t>
    </r>
    <r>
      <rPr>
        <sz val="12"/>
        <rFont val="Times New Roman"/>
        <family val="1"/>
      </rPr>
      <t xml:space="preserve"> </t>
    </r>
    <r>
      <rPr>
        <b/>
        <sz val="12"/>
        <color indexed="12"/>
        <rFont val="Times New Roman"/>
        <family val="1"/>
      </rPr>
      <t>Số</t>
    </r>
    <r>
      <rPr>
        <sz val="12"/>
        <rFont val="Times New Roman"/>
        <family val="1"/>
      </rPr>
      <t xml:space="preserve"> biết rằng Học sinh học lớp chuyên môn học nào thì điểm thi </t>
    </r>
  </si>
  <si>
    <r>
      <t xml:space="preserve">môn đó được tính </t>
    </r>
    <r>
      <rPr>
        <i/>
        <sz val="12"/>
        <color indexed="10"/>
        <rFont val="Times New Roman"/>
        <family val="1"/>
      </rPr>
      <t>hệ số 2</t>
    </r>
    <r>
      <rPr>
        <sz val="12"/>
        <rFont val="Times New Roman"/>
        <family val="1"/>
      </rPr>
      <t>.</t>
    </r>
  </si>
  <si>
    <r>
      <t xml:space="preserve">Điền giá trị cho cột </t>
    </r>
    <r>
      <rPr>
        <b/>
        <sz val="12"/>
        <color indexed="61"/>
        <rFont val="Times New Roman"/>
        <family val="1"/>
      </rPr>
      <t xml:space="preserve">Ghi Chú </t>
    </r>
    <r>
      <rPr>
        <sz val="12"/>
        <rFont val="Times New Roman"/>
        <family val="1"/>
      </rPr>
      <t>biết rằng :</t>
    </r>
  </si>
  <si>
    <r>
      <t xml:space="preserve"> - Học sinh thi tất cả các môn với số </t>
    </r>
    <r>
      <rPr>
        <b/>
        <sz val="12"/>
        <color indexed="10"/>
        <rFont val="Times New Roman"/>
        <family val="1"/>
      </rPr>
      <t>điểm &gt;=5</t>
    </r>
    <r>
      <rPr>
        <sz val="12"/>
        <rFont val="Times New Roman"/>
        <family val="1"/>
      </rPr>
      <t xml:space="preserve"> ghi là "</t>
    </r>
    <r>
      <rPr>
        <b/>
        <sz val="12"/>
        <color indexed="18"/>
        <rFont val="Times New Roman"/>
        <family val="1"/>
      </rPr>
      <t>Đạt</t>
    </r>
    <r>
      <rPr>
        <sz val="12"/>
        <rFont val="Times New Roman"/>
        <family val="1"/>
      </rPr>
      <t>"</t>
    </r>
  </si>
  <si>
    <r>
      <t xml:space="preserve"> - Học sinh học lớp chuyên mà thi môn chuyên có </t>
    </r>
    <r>
      <rPr>
        <b/>
        <sz val="12"/>
        <color indexed="10"/>
        <rFont val="Times New Roman"/>
        <family val="1"/>
      </rPr>
      <t>điểm &lt; 5</t>
    </r>
    <r>
      <rPr>
        <sz val="12"/>
        <rFont val="Times New Roman"/>
        <family val="1"/>
      </rPr>
      <t xml:space="preserve"> hoặc có trên 1 môn thi có </t>
    </r>
    <r>
      <rPr>
        <b/>
        <sz val="12"/>
        <color indexed="10"/>
        <rFont val="Times New Roman"/>
        <family val="1"/>
      </rPr>
      <t>điểm &lt; 5</t>
    </r>
    <r>
      <rPr>
        <sz val="12"/>
        <rFont val="Times New Roman"/>
        <family val="1"/>
      </rPr>
      <t xml:space="preserve"> thì ghi là "</t>
    </r>
    <r>
      <rPr>
        <b/>
        <sz val="12"/>
        <color indexed="17"/>
        <rFont val="Times New Roman"/>
        <family val="1"/>
      </rPr>
      <t>Hỏng</t>
    </r>
    <r>
      <rPr>
        <sz val="12"/>
        <rFont val="Times New Roman"/>
        <family val="1"/>
      </rPr>
      <t>"</t>
    </r>
  </si>
  <si>
    <r>
      <t xml:space="preserve"> - Học sinh thi có một môn </t>
    </r>
    <r>
      <rPr>
        <b/>
        <sz val="12"/>
        <color indexed="10"/>
        <rFont val="Times New Roman"/>
        <family val="1"/>
      </rPr>
      <t>điểm &lt; 5</t>
    </r>
    <r>
      <rPr>
        <sz val="12"/>
        <rFont val="Times New Roman"/>
        <family val="1"/>
      </rPr>
      <t xml:space="preserve"> ghi là "</t>
    </r>
    <r>
      <rPr>
        <b/>
        <sz val="12"/>
        <color indexed="17"/>
        <rFont val="Times New Roman"/>
        <family val="1"/>
      </rPr>
      <t>Thi Lại</t>
    </r>
    <r>
      <rPr>
        <sz val="12"/>
        <rFont val="Times New Roman"/>
        <family val="1"/>
      </rPr>
      <t>"</t>
    </r>
  </si>
  <si>
    <r>
      <t xml:space="preserve">Hãy tạo giá trị cho cột </t>
    </r>
    <r>
      <rPr>
        <b/>
        <sz val="12"/>
        <color indexed="12"/>
        <rFont val="Times New Roman"/>
        <family val="1"/>
      </rPr>
      <t xml:space="preserve">Thi Lại </t>
    </r>
    <r>
      <rPr>
        <sz val="12"/>
        <rFont val="Times New Roman"/>
        <family val="1"/>
      </rPr>
      <t>biết rằng:</t>
    </r>
  </si>
  <si>
    <r>
      <t xml:space="preserve"> - Học sinh nào bị </t>
    </r>
    <r>
      <rPr>
        <b/>
        <sz val="12"/>
        <color indexed="12"/>
        <rFont val="Times New Roman"/>
        <family val="1"/>
      </rPr>
      <t xml:space="preserve">Thi Lại </t>
    </r>
    <r>
      <rPr>
        <sz val="12"/>
        <rFont val="Times New Roman"/>
        <family val="1"/>
      </rPr>
      <t xml:space="preserve">thì ghi </t>
    </r>
    <r>
      <rPr>
        <b/>
        <i/>
        <sz val="12"/>
        <color indexed="10"/>
        <rFont val="Times New Roman"/>
        <family val="1"/>
      </rPr>
      <t xml:space="preserve">tên môn thi lại </t>
    </r>
    <r>
      <rPr>
        <sz val="12"/>
        <rFont val="Times New Roman"/>
        <family val="1"/>
      </rPr>
      <t>đó (</t>
    </r>
    <r>
      <rPr>
        <i/>
        <sz val="12"/>
        <rFont val="Times New Roman"/>
        <family val="1"/>
      </rPr>
      <t>Tức là tên môn thi có điểm &lt;5</t>
    </r>
    <r>
      <rPr>
        <sz val="12"/>
        <rFont val="Times New Roman"/>
        <family val="1"/>
      </rPr>
      <t>)</t>
    </r>
  </si>
  <si>
    <t xml:space="preserve"> - Các trường hợp còn lại thì để trống</t>
  </si>
  <si>
    <r>
      <t xml:space="preserve">Điền giá trị cho cột </t>
    </r>
    <r>
      <rPr>
        <b/>
        <sz val="12"/>
        <color indexed="10"/>
        <rFont val="Times New Roman"/>
        <family val="1"/>
      </rPr>
      <t>Xếp Loại</t>
    </r>
    <r>
      <rPr>
        <sz val="12"/>
        <rFont val="Times New Roman"/>
        <family val="1"/>
      </rPr>
      <t xml:space="preserve"> đối với các học sinh thi </t>
    </r>
    <r>
      <rPr>
        <b/>
        <sz val="12"/>
        <color indexed="12"/>
        <rFont val="Times New Roman"/>
        <family val="1"/>
      </rPr>
      <t>Đạt</t>
    </r>
    <r>
      <rPr>
        <sz val="12"/>
        <rFont val="Times New Roman"/>
        <family val="1"/>
      </rPr>
      <t xml:space="preserve"> dựa vào </t>
    </r>
    <r>
      <rPr>
        <b/>
        <sz val="12"/>
        <color indexed="16"/>
        <rFont val="Times New Roman"/>
        <family val="1"/>
      </rPr>
      <t>ĐTB</t>
    </r>
    <r>
      <rPr>
        <sz val="12"/>
        <rFont val="Times New Roman"/>
        <family val="1"/>
      </rPr>
      <t xml:space="preserve"> như sau:</t>
    </r>
  </si>
  <si>
    <r>
      <t xml:space="preserve">- </t>
    </r>
    <r>
      <rPr>
        <b/>
        <sz val="12"/>
        <color indexed="12"/>
        <rFont val="Times New Roman"/>
        <family val="1"/>
      </rPr>
      <t>TB</t>
    </r>
    <r>
      <rPr>
        <sz val="12"/>
        <rFont val="Times New Roman"/>
        <family val="1"/>
      </rPr>
      <t xml:space="preserve"> với 5 &lt;= </t>
    </r>
    <r>
      <rPr>
        <b/>
        <sz val="12"/>
        <color indexed="10"/>
        <rFont val="Times New Roman"/>
        <family val="1"/>
      </rPr>
      <t>ĐTB</t>
    </r>
    <r>
      <rPr>
        <sz val="12"/>
        <rFont val="Times New Roman"/>
        <family val="1"/>
      </rPr>
      <t xml:space="preserve"> &lt; 7.0</t>
    </r>
  </si>
  <si>
    <r>
      <t xml:space="preserve">- </t>
    </r>
    <r>
      <rPr>
        <b/>
        <sz val="12"/>
        <color indexed="12"/>
        <rFont val="Times New Roman"/>
        <family val="1"/>
      </rPr>
      <t>Khá</t>
    </r>
    <r>
      <rPr>
        <sz val="12"/>
        <rFont val="Times New Roman"/>
        <family val="1"/>
      </rPr>
      <t xml:space="preserve"> với 7.0 &lt;= </t>
    </r>
    <r>
      <rPr>
        <b/>
        <sz val="12"/>
        <color indexed="10"/>
        <rFont val="Times New Roman"/>
        <family val="1"/>
      </rPr>
      <t>ĐTB</t>
    </r>
    <r>
      <rPr>
        <sz val="12"/>
        <rFont val="Times New Roman"/>
        <family val="1"/>
      </rPr>
      <t xml:space="preserve"> &lt; 9</t>
    </r>
  </si>
  <si>
    <r>
      <t xml:space="preserve">- </t>
    </r>
    <r>
      <rPr>
        <b/>
        <sz val="12"/>
        <color indexed="12"/>
        <rFont val="Times New Roman"/>
        <family val="1"/>
      </rPr>
      <t>Giỏi</t>
    </r>
    <r>
      <rPr>
        <sz val="12"/>
        <rFont val="Times New Roman"/>
        <family val="1"/>
      </rPr>
      <t xml:space="preserve"> với  </t>
    </r>
    <r>
      <rPr>
        <b/>
        <sz val="12"/>
        <color indexed="10"/>
        <rFont val="Times New Roman"/>
        <family val="1"/>
      </rPr>
      <t>ĐTB</t>
    </r>
    <r>
      <rPr>
        <sz val="12"/>
        <rFont val="Times New Roman"/>
        <family val="1"/>
      </rPr>
      <t xml:space="preserve"> &gt;= 9</t>
    </r>
  </si>
  <si>
    <r>
      <t xml:space="preserve"> - Các trường hợp </t>
    </r>
    <r>
      <rPr>
        <b/>
        <sz val="12"/>
        <color indexed="12"/>
        <rFont val="Times New Roman"/>
        <family val="1"/>
      </rPr>
      <t>Thi Lại</t>
    </r>
    <r>
      <rPr>
        <sz val="12"/>
        <rFont val="Times New Roman"/>
        <family val="1"/>
      </rPr>
      <t xml:space="preserve"> và </t>
    </r>
    <r>
      <rPr>
        <b/>
        <sz val="12"/>
        <color indexed="56"/>
        <rFont val="Times New Roman"/>
        <family val="1"/>
      </rPr>
      <t>Hỏng</t>
    </r>
    <r>
      <rPr>
        <sz val="12"/>
        <rFont val="Times New Roman"/>
        <family val="1"/>
      </rPr>
      <t xml:space="preserve"> thì để trống</t>
    </r>
  </si>
  <si>
    <r>
      <t xml:space="preserve">Tính </t>
    </r>
    <r>
      <rPr>
        <b/>
        <sz val="12"/>
        <rFont val="Times New Roman"/>
        <family val="1"/>
      </rPr>
      <t>Học Bổng</t>
    </r>
    <r>
      <rPr>
        <sz val="12"/>
        <rFont val="Times New Roman"/>
        <family val="1"/>
      </rPr>
      <t xml:space="preserve"> cho các học sinh dựa vào </t>
    </r>
    <r>
      <rPr>
        <b/>
        <sz val="12"/>
        <color indexed="53"/>
        <rFont val="Times New Roman"/>
        <family val="1"/>
      </rPr>
      <t>Xếp Loại</t>
    </r>
    <r>
      <rPr>
        <sz val="12"/>
        <rFont val="Times New Roman"/>
        <family val="1"/>
      </rPr>
      <t xml:space="preserve"> như sau:</t>
    </r>
  </si>
  <si>
    <r>
      <t xml:space="preserve"> - </t>
    </r>
    <r>
      <rPr>
        <b/>
        <sz val="12"/>
        <color indexed="10"/>
        <rFont val="Times New Roman"/>
        <family val="1"/>
      </rPr>
      <t>Giỏi</t>
    </r>
    <r>
      <rPr>
        <sz val="12"/>
        <rFont val="Times New Roman"/>
        <family val="1"/>
      </rPr>
      <t xml:space="preserve"> thì được 100000</t>
    </r>
  </si>
  <si>
    <r>
      <t xml:space="preserve"> - </t>
    </r>
    <r>
      <rPr>
        <b/>
        <sz val="12"/>
        <color indexed="57"/>
        <rFont val="Times New Roman"/>
        <family val="1"/>
      </rPr>
      <t>Khá</t>
    </r>
    <r>
      <rPr>
        <sz val="12"/>
        <rFont val="Times New Roman"/>
        <family val="1"/>
      </rPr>
      <t xml:space="preserve"> thì được 50000</t>
    </r>
  </si>
  <si>
    <r>
      <t xml:space="preserve"> - </t>
    </r>
    <r>
      <rPr>
        <b/>
        <sz val="12"/>
        <color indexed="20"/>
        <rFont val="Times New Roman"/>
        <family val="1"/>
      </rPr>
      <t>Trung Bình</t>
    </r>
    <r>
      <rPr>
        <sz val="12"/>
        <rFont val="Times New Roman"/>
        <family val="1"/>
      </rPr>
      <t xml:space="preserve"> thì được 0</t>
    </r>
  </si>
  <si>
    <r>
      <t xml:space="preserve">Điền giá trị cho cột </t>
    </r>
    <r>
      <rPr>
        <b/>
        <sz val="12"/>
        <color indexed="61"/>
        <rFont val="Times New Roman"/>
        <family val="1"/>
      </rPr>
      <t>Thưởng</t>
    </r>
    <r>
      <rPr>
        <sz val="12"/>
        <rFont val="Times New Roman"/>
        <family val="1"/>
      </rPr>
      <t xml:space="preserve"> biết rằng:</t>
    </r>
  </si>
  <si>
    <r>
      <t xml:space="preserve">- Học sinh nào </t>
    </r>
    <r>
      <rPr>
        <b/>
        <sz val="12"/>
        <color indexed="62"/>
        <rFont val="Times New Roman"/>
        <family val="1"/>
      </rPr>
      <t xml:space="preserve">Xếp Loại </t>
    </r>
    <r>
      <rPr>
        <i/>
        <sz val="12"/>
        <color indexed="10"/>
        <rFont val="Times New Roman"/>
        <family val="1"/>
      </rPr>
      <t>Giỏi</t>
    </r>
    <r>
      <rPr>
        <sz val="12"/>
        <rFont val="Times New Roman"/>
        <family val="1"/>
      </rPr>
      <t xml:space="preserve">, </t>
    </r>
    <r>
      <rPr>
        <i/>
        <sz val="12"/>
        <color indexed="56"/>
        <rFont val="Times New Roman"/>
        <family val="1"/>
      </rPr>
      <t>không có môn thi nào điểm &lt; 5</t>
    </r>
    <r>
      <rPr>
        <sz val="12"/>
        <rFont val="Times New Roman"/>
        <family val="1"/>
      </rPr>
      <t xml:space="preserve">, </t>
    </r>
    <r>
      <rPr>
        <i/>
        <sz val="12"/>
        <color indexed="54"/>
        <rFont val="Times New Roman"/>
        <family val="1"/>
      </rPr>
      <t>không bỏ thi môn nào</t>
    </r>
    <r>
      <rPr>
        <sz val="12"/>
        <rFont val="Times New Roman"/>
        <family val="1"/>
      </rPr>
      <t xml:space="preserve">thì được </t>
    </r>
    <r>
      <rPr>
        <b/>
        <sz val="12"/>
        <color indexed="16"/>
        <rFont val="Times New Roman"/>
        <family val="1"/>
      </rPr>
      <t>Thưởng</t>
    </r>
    <r>
      <rPr>
        <sz val="12"/>
        <rFont val="Times New Roman"/>
        <family val="1"/>
      </rPr>
      <t xml:space="preserve"> 100000</t>
    </r>
  </si>
  <si>
    <r>
      <t xml:space="preserve">- Học sinh nào </t>
    </r>
    <r>
      <rPr>
        <b/>
        <sz val="12"/>
        <color indexed="62"/>
        <rFont val="Times New Roman"/>
        <family val="1"/>
      </rPr>
      <t xml:space="preserve">Xếp Loại </t>
    </r>
    <r>
      <rPr>
        <i/>
        <sz val="12"/>
        <color indexed="10"/>
        <rFont val="Times New Roman"/>
        <family val="1"/>
      </rPr>
      <t>Khá</t>
    </r>
    <r>
      <rPr>
        <sz val="12"/>
        <rFont val="Times New Roman"/>
        <family val="1"/>
      </rPr>
      <t xml:space="preserve">, </t>
    </r>
    <r>
      <rPr>
        <i/>
        <sz val="12"/>
        <color indexed="56"/>
        <rFont val="Times New Roman"/>
        <family val="1"/>
      </rPr>
      <t>không có môn thi nào điểm &lt; 5</t>
    </r>
    <r>
      <rPr>
        <sz val="12"/>
        <rFont val="Times New Roman"/>
        <family val="1"/>
      </rPr>
      <t xml:space="preserve">, </t>
    </r>
    <r>
      <rPr>
        <i/>
        <sz val="12"/>
        <color indexed="54"/>
        <rFont val="Times New Roman"/>
        <family val="1"/>
      </rPr>
      <t>không bỏ thi môn nào</t>
    </r>
    <r>
      <rPr>
        <sz val="12"/>
        <rFont val="Times New Roman"/>
        <family val="1"/>
      </rPr>
      <t xml:space="preserve">thì được </t>
    </r>
    <r>
      <rPr>
        <b/>
        <sz val="12"/>
        <color indexed="16"/>
        <rFont val="Times New Roman"/>
        <family val="1"/>
      </rPr>
      <t>Thưởng</t>
    </r>
    <r>
      <rPr>
        <sz val="12"/>
        <rFont val="Times New Roman"/>
        <family val="1"/>
      </rPr>
      <t xml:space="preserve"> 50000</t>
    </r>
  </si>
  <si>
    <r>
      <t xml:space="preserve">- Các trường hợp khác thì không </t>
    </r>
    <r>
      <rPr>
        <b/>
        <sz val="12"/>
        <color indexed="16"/>
        <rFont val="Times New Roman"/>
        <family val="1"/>
      </rPr>
      <t>Thưởng</t>
    </r>
  </si>
  <si>
    <t>BẢNG THỐNG KÊ TIÊU THỤ SẢN PHẨM</t>
  </si>
  <si>
    <t>Đại Lý</t>
  </si>
  <si>
    <t>Tên Hàng - Tên Hãng Sản Xuất</t>
  </si>
  <si>
    <t>Số Lượng</t>
  </si>
  <si>
    <t>CDR-SS</t>
  </si>
  <si>
    <t>SGN</t>
  </si>
  <si>
    <t>KEY-DE</t>
  </si>
  <si>
    <t>HNN</t>
  </si>
  <si>
    <t>MOU-IM</t>
  </si>
  <si>
    <t>DNA</t>
  </si>
  <si>
    <t>KEY-SS</t>
  </si>
  <si>
    <t>CDR-DE</t>
  </si>
  <si>
    <t>BẢNG TRA TÊN HÀNG, TÊN HÃNG SẢN XUẤT VÀ ĐƠN GIÁ</t>
  </si>
  <si>
    <t>Mã Hãng - Tên Hãng Sản Xuất</t>
  </si>
  <si>
    <t>SS</t>
  </si>
  <si>
    <t>IM</t>
  </si>
  <si>
    <t>DE</t>
  </si>
  <si>
    <t>SamSung</t>
  </si>
  <si>
    <t>IBM</t>
  </si>
  <si>
    <t>Dell</t>
  </si>
  <si>
    <t>CDR</t>
  </si>
  <si>
    <t>CDRom</t>
  </si>
  <si>
    <t>KEY</t>
  </si>
  <si>
    <t>Keyboard</t>
  </si>
  <si>
    <t>MOU</t>
  </si>
  <si>
    <t>Bảng 3</t>
  </si>
  <si>
    <t>BẢNG TỔNG HỢP</t>
  </si>
  <si>
    <t>Tổng Tiền</t>
  </si>
  <si>
    <r>
      <t xml:space="preserve">Căn cứ vào </t>
    </r>
    <r>
      <rPr>
        <b/>
        <i/>
        <sz val="12"/>
        <color indexed="12"/>
        <rFont val="Times New Roman"/>
        <family val="1"/>
      </rPr>
      <t xml:space="preserve">3 ký tự bên trái </t>
    </r>
    <r>
      <rPr>
        <sz val="12"/>
        <rFont val="Times New Roman"/>
        <family val="1"/>
      </rPr>
      <t xml:space="preserve">và </t>
    </r>
    <r>
      <rPr>
        <b/>
        <i/>
        <sz val="12"/>
        <color indexed="12"/>
        <rFont val="Times New Roman"/>
        <family val="1"/>
      </rPr>
      <t xml:space="preserve">2 ký tự bên phải </t>
    </r>
    <r>
      <rPr>
        <sz val="12"/>
        <rFont val="Times New Roman"/>
        <family val="1"/>
      </rPr>
      <t xml:space="preserve">của </t>
    </r>
    <r>
      <rPr>
        <b/>
        <sz val="12"/>
        <color indexed="20"/>
        <rFont val="Times New Roman"/>
        <family val="1"/>
      </rPr>
      <t>Mã SP</t>
    </r>
    <r>
      <rPr>
        <sz val="12"/>
        <rFont val="Times New Roman"/>
        <family val="1"/>
      </rPr>
      <t xml:space="preserve"> trong </t>
    </r>
    <r>
      <rPr>
        <b/>
        <sz val="12"/>
        <color indexed="10"/>
        <rFont val="Times New Roman"/>
        <family val="1"/>
      </rPr>
      <t>Bảng 1</t>
    </r>
    <r>
      <rPr>
        <sz val="12"/>
        <color indexed="10"/>
        <rFont val="Times New Roman"/>
        <family val="1"/>
      </rPr>
      <t>,</t>
    </r>
  </si>
  <si>
    <r>
      <t xml:space="preserve">hãy tra trong </t>
    </r>
    <r>
      <rPr>
        <b/>
        <sz val="12"/>
        <color indexed="10"/>
        <rFont val="Times New Roman"/>
        <family val="1"/>
      </rPr>
      <t>Bảng 2</t>
    </r>
    <r>
      <rPr>
        <sz val="12"/>
        <rFont val="Times New Roman"/>
        <family val="1"/>
      </rPr>
      <t xml:space="preserve"> để điền giá trị cho cột </t>
    </r>
    <r>
      <rPr>
        <b/>
        <sz val="12"/>
        <color indexed="16"/>
        <rFont val="Times New Roman"/>
        <family val="1"/>
      </rPr>
      <t>Tên Hàng - Tên Hãng Sản Xuất</t>
    </r>
    <r>
      <rPr>
        <sz val="12"/>
        <rFont val="Times New Roman"/>
        <family val="1"/>
      </rPr>
      <t>.</t>
    </r>
  </si>
  <si>
    <t>Ví dụ : Mã SP là CDR-SS thì có Tên Hàng - Tên Hãng Sản Xuất là : CDRom - Sam Sung</t>
  </si>
  <si>
    <r>
      <t xml:space="preserve">Hãy điền </t>
    </r>
    <r>
      <rPr>
        <b/>
        <sz val="12"/>
        <color indexed="10"/>
        <rFont val="Times New Roman"/>
        <family val="1"/>
      </rPr>
      <t xml:space="preserve">Đơn Giá </t>
    </r>
    <r>
      <rPr>
        <sz val="12"/>
        <rFont val="Times New Roman"/>
        <family val="1"/>
      </rPr>
      <t xml:space="preserve">cho mỗi mặt hàng dựa vào </t>
    </r>
    <r>
      <rPr>
        <b/>
        <sz val="12"/>
        <color indexed="61"/>
        <rFont val="Times New Roman"/>
        <family val="1"/>
      </rPr>
      <t>Mã SP</t>
    </r>
    <r>
      <rPr>
        <sz val="12"/>
        <rFont val="Times New Roman"/>
        <family val="1"/>
      </rPr>
      <t xml:space="preserve"> ở </t>
    </r>
    <r>
      <rPr>
        <b/>
        <sz val="12"/>
        <color indexed="12"/>
        <rFont val="Times New Roman"/>
        <family val="1"/>
      </rPr>
      <t>Bảng 1</t>
    </r>
    <r>
      <rPr>
        <sz val="12"/>
        <rFont val="Times New Roman"/>
        <family val="1"/>
      </rPr>
      <t xml:space="preserve"> và tra ở </t>
    </r>
    <r>
      <rPr>
        <b/>
        <sz val="12"/>
        <color indexed="12"/>
        <rFont val="Times New Roman"/>
        <family val="1"/>
      </rPr>
      <t>Bảng 2</t>
    </r>
    <r>
      <rPr>
        <sz val="12"/>
        <rFont val="Times New Roman"/>
        <family val="1"/>
      </rPr>
      <t>.</t>
    </r>
  </si>
  <si>
    <r>
      <t xml:space="preserve">Tính </t>
    </r>
    <r>
      <rPr>
        <b/>
        <sz val="12"/>
        <color indexed="10"/>
        <rFont val="Times New Roman"/>
        <family val="1"/>
      </rPr>
      <t>Thành Tiền</t>
    </r>
    <r>
      <rPr>
        <sz val="12"/>
        <rFont val="Times New Roman"/>
        <family val="1"/>
      </rPr>
      <t xml:space="preserve"> = </t>
    </r>
    <r>
      <rPr>
        <b/>
        <sz val="12"/>
        <color indexed="18"/>
        <rFont val="Times New Roman"/>
        <family val="1"/>
      </rPr>
      <t>Số Lượng *</t>
    </r>
    <r>
      <rPr>
        <sz val="12"/>
        <rFont val="Times New Roman"/>
        <family val="1"/>
      </rPr>
      <t xml:space="preserve"> </t>
    </r>
    <r>
      <rPr>
        <b/>
        <sz val="12"/>
        <color indexed="61"/>
        <rFont val="Times New Roman"/>
        <family val="1"/>
      </rPr>
      <t>Đơn Giá</t>
    </r>
    <r>
      <rPr>
        <sz val="12"/>
        <rFont val="Times New Roman"/>
        <family val="1"/>
      </rPr>
      <t>.</t>
    </r>
  </si>
  <si>
    <r>
      <t xml:space="preserve">Hãy hoàn thành </t>
    </r>
    <r>
      <rPr>
        <b/>
        <sz val="12"/>
        <color indexed="12"/>
        <rFont val="Times New Roman"/>
        <family val="1"/>
      </rPr>
      <t>Bảng Tổng Hợp</t>
    </r>
    <r>
      <rPr>
        <sz val="12"/>
        <rFont val="Times New Roman"/>
        <family val="1"/>
      </rPr>
      <t xml:space="preserve"> ở </t>
    </r>
    <r>
      <rPr>
        <b/>
        <sz val="12"/>
        <color indexed="52"/>
        <rFont val="Times New Roman"/>
        <family val="1"/>
      </rPr>
      <t>Bảng 3</t>
    </r>
  </si>
  <si>
    <r>
      <t>A</t>
    </r>
    <r>
      <rPr>
        <b/>
        <vertAlign val="superscript"/>
        <sz val="12"/>
        <color indexed="9"/>
        <rFont val="Times New Roman"/>
        <family val="1"/>
      </rPr>
      <t>2</t>
    </r>
  </si>
  <si>
    <r>
      <t>C</t>
    </r>
    <r>
      <rPr>
        <b/>
        <vertAlign val="superscript"/>
        <sz val="12"/>
        <color indexed="9"/>
        <rFont val="Times New Roman"/>
        <family val="1"/>
      </rPr>
      <t>2</t>
    </r>
  </si>
  <si>
    <r>
      <t>A</t>
    </r>
    <r>
      <rPr>
        <b/>
        <vertAlign val="superscript"/>
        <sz val="12"/>
        <color indexed="9"/>
        <rFont val="Times New Roman"/>
        <family val="1"/>
      </rPr>
      <t>2</t>
    </r>
    <r>
      <rPr>
        <b/>
        <sz val="12"/>
        <color indexed="9"/>
        <rFont val="Times New Roman"/>
        <family val="1"/>
      </rPr>
      <t xml:space="preserve"> + B</t>
    </r>
    <r>
      <rPr>
        <b/>
        <vertAlign val="superscript"/>
        <sz val="12"/>
        <color indexed="9"/>
        <rFont val="Times New Roman"/>
        <family val="1"/>
      </rPr>
      <t>2</t>
    </r>
  </si>
  <si>
    <r>
      <t>D</t>
    </r>
    <r>
      <rPr>
        <b/>
        <sz val="12"/>
        <color indexed="9"/>
        <rFont val="Times New Roman"/>
        <family val="1"/>
      </rPr>
      <t xml:space="preserve"> = B</t>
    </r>
    <r>
      <rPr>
        <b/>
        <vertAlign val="superscript"/>
        <sz val="12"/>
        <color indexed="9"/>
        <rFont val="Times New Roman"/>
        <family val="1"/>
      </rPr>
      <t xml:space="preserve">2 </t>
    </r>
    <r>
      <rPr>
        <b/>
        <sz val="12"/>
        <color indexed="9"/>
        <rFont val="Times New Roman"/>
        <family val="1"/>
      </rPr>
      <t>- 4AC</t>
    </r>
  </si>
  <si>
    <r>
      <t xml:space="preserve">10) Lưu bài tập với tên </t>
    </r>
    <r>
      <rPr>
        <b/>
        <sz val="12"/>
        <rFont val="Times New Roman"/>
        <family val="1"/>
        <charset val="163"/>
      </rPr>
      <t>Bai1.xls</t>
    </r>
    <r>
      <rPr>
        <sz val="12"/>
        <rFont val="Times New Roman"/>
        <family val="1"/>
        <charset val="163"/>
      </rPr>
      <t>.</t>
    </r>
  </si>
  <si>
    <r>
      <t xml:space="preserve">8) Lưu bài tập với tên </t>
    </r>
    <r>
      <rPr>
        <b/>
        <sz val="12"/>
        <rFont val="Times New Roman"/>
        <family val="1"/>
        <charset val="163"/>
      </rPr>
      <t>Bai2.xls</t>
    </r>
    <r>
      <rPr>
        <sz val="12"/>
        <rFont val="Times New Roman"/>
        <family val="1"/>
        <charset val="163"/>
      </rPr>
      <t>.</t>
    </r>
  </si>
  <si>
    <r>
      <t xml:space="preserve">6) Trang trí cho bảng tính và lưu lại với tên </t>
    </r>
    <r>
      <rPr>
        <b/>
        <sz val="12"/>
        <rFont val="Times New Roman"/>
        <family val="1"/>
        <charset val="163"/>
      </rPr>
      <t>Bai5.xls</t>
    </r>
    <r>
      <rPr>
        <sz val="12"/>
        <rFont val="Times New Roman"/>
        <family val="1"/>
        <charset val="163"/>
      </rPr>
      <t>.</t>
    </r>
  </si>
  <si>
    <r>
      <t xml:space="preserve">9) Định dạng bảng tính và lưu bài với tên </t>
    </r>
    <r>
      <rPr>
        <b/>
        <sz val="12"/>
        <rFont val="Times New Roman"/>
        <family val="1"/>
        <charset val="163"/>
      </rPr>
      <t>Bai6.xls</t>
    </r>
    <r>
      <rPr>
        <sz val="12"/>
        <rFont val="Times New Roman"/>
        <family val="1"/>
        <charset val="163"/>
      </rPr>
      <t>.</t>
    </r>
  </si>
  <si>
    <r>
      <t xml:space="preserve">5) Tính </t>
    </r>
    <r>
      <rPr>
        <b/>
        <sz val="12"/>
        <rFont val="Times New Roman"/>
        <family val="1"/>
        <charset val="163"/>
      </rPr>
      <t xml:space="preserve">Tổng cộng </t>
    </r>
    <r>
      <rPr>
        <sz val="12"/>
        <rFont val="Times New Roman"/>
        <family val="1"/>
        <charset val="163"/>
      </rPr>
      <t>tiền khách hành phải trả.</t>
    </r>
  </si>
  <si>
    <r>
      <t xml:space="preserve">6) Trang trí cho bảng tính và lưu lại với tên </t>
    </r>
    <r>
      <rPr>
        <b/>
        <sz val="12"/>
        <rFont val="Times New Roman"/>
        <family val="1"/>
        <charset val="163"/>
      </rPr>
      <t>Bai8.xls</t>
    </r>
    <r>
      <rPr>
        <sz val="12"/>
        <rFont val="Times New Roman"/>
        <family val="1"/>
        <charset val="163"/>
      </rPr>
      <t>.</t>
    </r>
  </si>
  <si>
    <r>
      <t xml:space="preserve">6) Định dạng bảng tính và lưu với tên </t>
    </r>
    <r>
      <rPr>
        <b/>
        <sz val="12"/>
        <rFont val="Times New Roman"/>
        <family val="1"/>
        <charset val="163"/>
      </rPr>
      <t>Bai9.xls</t>
    </r>
    <r>
      <rPr>
        <sz val="12"/>
        <rFont val="Times New Roman"/>
        <family val="1"/>
        <charset val="163"/>
      </rPr>
      <t>.</t>
    </r>
  </si>
  <si>
    <t>ĐK TV NHẬP</t>
  </si>
  <si>
    <t>ĐK ML NHẬP</t>
  </si>
  <si>
    <r>
      <t>"</t>
    </r>
    <r>
      <rPr>
        <b/>
        <i/>
        <sz val="12"/>
        <rFont val="Times New Roman"/>
        <family val="1"/>
        <charset val="163"/>
      </rPr>
      <t>Có khuyến mãi</t>
    </r>
    <r>
      <rPr>
        <sz val="12"/>
        <rFont val="Times New Roman"/>
        <family val="1"/>
        <charset val="163"/>
      </rPr>
      <t>", ngược lại để trống.</t>
    </r>
  </si>
  <si>
    <r>
      <t xml:space="preserve">10) Định dạng bảng tính và lưu với tên </t>
    </r>
    <r>
      <rPr>
        <b/>
        <sz val="12"/>
        <rFont val="Times New Roman"/>
        <family val="1"/>
        <charset val="163"/>
      </rPr>
      <t>Bai14.xls</t>
    </r>
    <r>
      <rPr>
        <sz val="12"/>
        <rFont val="Times New Roman"/>
        <family val="1"/>
        <charset val="163"/>
      </rPr>
      <t>.</t>
    </r>
  </si>
  <si>
    <r>
      <t xml:space="preserve">13) Định dạng bảng tính và lưu với tên </t>
    </r>
    <r>
      <rPr>
        <b/>
        <sz val="12"/>
        <rFont val="Times New Roman"/>
        <family val="1"/>
        <charset val="163"/>
      </rPr>
      <t>Bai13.xls</t>
    </r>
    <r>
      <rPr>
        <sz val="12"/>
        <rFont val="Times New Roman"/>
        <family val="1"/>
        <charset val="163"/>
      </rPr>
      <t>.</t>
    </r>
  </si>
  <si>
    <r>
      <t xml:space="preserve">9) Định dạng bảng tính và lưu với tên </t>
    </r>
    <r>
      <rPr>
        <b/>
        <sz val="12"/>
        <rFont val="Times New Roman"/>
        <family val="1"/>
        <charset val="163"/>
      </rPr>
      <t>Bai15.xls</t>
    </r>
    <r>
      <rPr>
        <sz val="12"/>
        <rFont val="Times New Roman"/>
        <family val="1"/>
        <charset val="163"/>
      </rPr>
      <t>.</t>
    </r>
  </si>
  <si>
    <r>
      <t xml:space="preserve">6) Trang trí cho bảng tính và lưu lại với tên </t>
    </r>
    <r>
      <rPr>
        <b/>
        <sz val="12"/>
        <rFont val="Times New Roman"/>
        <family val="1"/>
      </rPr>
      <t>Bai12.xls</t>
    </r>
  </si>
  <si>
    <t>ðHãy nhập và trình bày bảng tính trên, thực hiện các yêu cầu sau:</t>
  </si>
  <si>
    <r>
      <t xml:space="preserve">11) Trang trí như bảng tính trên và lưu với tên </t>
    </r>
    <r>
      <rPr>
        <b/>
        <sz val="12"/>
        <rFont val="Times New Roman"/>
        <family val="1"/>
        <charset val="163"/>
      </rPr>
      <t>Bai16.xls</t>
    </r>
    <r>
      <rPr>
        <sz val="12"/>
        <rFont val="Times New Roman"/>
        <family val="1"/>
        <charset val="163"/>
      </rPr>
      <t>.</t>
    </r>
  </si>
  <si>
    <t>ĐIỂM CHUẨN</t>
  </si>
  <si>
    <t>ĐIỂM HỌC BỔNG</t>
  </si>
  <si>
    <t>Điểm tuyển</t>
  </si>
  <si>
    <t>SỬ</t>
  </si>
  <si>
    <t>SINH</t>
  </si>
  <si>
    <t>ĐIỂM ƯU TIÊN THEO KHU VỰC</t>
  </si>
  <si>
    <t>ĐIỂM TAY NGHỀ HOẶC ĐẠT DANH HIỆU KHÁC</t>
  </si>
  <si>
    <t>Mã khu vực</t>
  </si>
  <si>
    <t>Tên khu vực</t>
  </si>
  <si>
    <t>Điểm cộng thêm</t>
  </si>
  <si>
    <t>Mã loại</t>
  </si>
  <si>
    <t>Tên loại</t>
  </si>
  <si>
    <t>VS</t>
  </si>
  <si>
    <t>Vùng sâu</t>
  </si>
  <si>
    <t>Học sinh giỏi cấp toàn quốc</t>
  </si>
  <si>
    <t>VX</t>
  </si>
  <si>
    <t>Vùng xa</t>
  </si>
  <si>
    <t>Học sinh giỏi cấp tỉnh</t>
  </si>
  <si>
    <t>MN</t>
  </si>
  <si>
    <t>Miền núi</t>
  </si>
  <si>
    <t>Đạt kì thi tay nghề</t>
  </si>
  <si>
    <t>KẾT QỦA TUYỂN SINH</t>
  </si>
  <si>
    <t>Ngành</t>
  </si>
  <si>
    <t>Kết quả</t>
  </si>
  <si>
    <t>Học bổng</t>
  </si>
  <si>
    <t>ĐK SỬ</t>
  </si>
  <si>
    <t>ĐK SINH</t>
  </si>
  <si>
    <t>ĐK LÝ</t>
  </si>
  <si>
    <t>A1VS001</t>
  </si>
  <si>
    <t>Huy Phong</t>
  </si>
  <si>
    <t>B2VS102</t>
  </si>
  <si>
    <t>Hoàng Nhã</t>
  </si>
  <si>
    <t>C3MN111</t>
  </si>
  <si>
    <t>Thanh Thế</t>
  </si>
  <si>
    <t>B2007</t>
  </si>
  <si>
    <t>Ngọc Lam</t>
  </si>
  <si>
    <t>A1VX102</t>
  </si>
  <si>
    <t>Kim Chi</t>
  </si>
  <si>
    <t>THỐNG KÊ KẾT QUẢ TUYỂN SINH</t>
  </si>
  <si>
    <t>B1205</t>
  </si>
  <si>
    <t>Phong Lan</t>
  </si>
  <si>
    <t>Tổng số thi sinh không đạt:</t>
  </si>
  <si>
    <t>A3VX3801</t>
  </si>
  <si>
    <t>Hoàng Hà</t>
  </si>
  <si>
    <t>Số thí sinh được nhận học bổng</t>
  </si>
  <si>
    <t>C2109</t>
  </si>
  <si>
    <t>Thành Tứ</t>
  </si>
  <si>
    <t>Tổng số thí sinh dự thi:</t>
  </si>
  <si>
    <t>A2VS002</t>
  </si>
  <si>
    <t>Huy Trần</t>
  </si>
  <si>
    <t>Số thí sinh đạt từng ngành:</t>
  </si>
  <si>
    <t>C1901</t>
  </si>
  <si>
    <t>Thế Khanh</t>
  </si>
  <si>
    <r>
      <t>Yêu cầu</t>
    </r>
    <r>
      <rPr>
        <sz val="12"/>
        <rFont val="Times New Roman"/>
        <family val="1"/>
        <charset val="163"/>
      </rPr>
      <t>:</t>
    </r>
  </si>
  <si>
    <r>
      <t>1. Dựa vào mã số thí sinh và bảng điểm chuẩn để điền tên ngành cho cột “</t>
    </r>
    <r>
      <rPr>
        <b/>
        <sz val="12"/>
        <rFont val="Times New Roman"/>
        <family val="1"/>
        <charset val="163"/>
      </rPr>
      <t>Ngành</t>
    </r>
    <r>
      <rPr>
        <sz val="12"/>
        <rFont val="Times New Roman"/>
        <family val="1"/>
        <charset val="163"/>
      </rPr>
      <t>”</t>
    </r>
  </si>
  <si>
    <t>2. Tính tổng điểm thí sinh đạt được biết rằng:</t>
  </si>
  <si>
    <t>Tổng điểm = tổng 3 cột điểm + điểm ưu tiên theo khu vực + điểm ưu tiên tay nghể 
hoặc đạt các danh hiệu khác</t>
  </si>
  <si>
    <t xml:space="preserve"> - Thí sinh thi ngành nào thì cột điểm ngành đó sẽ được tính hệ số 2</t>
  </si>
  <si>
    <t xml:space="preserve"> - Thí sinh được hưởng điểm ưu tiên theo khu vực nếu có mã số trùng với bảng điểm ưu tiên theo khu vực, ngược lại thì lấy 0.
</t>
  </si>
  <si>
    <t xml:space="preserve"> - Thí sinh được hưởng điểm ưu tiên tay nghề hoặc đạt danh hiệu học sinh giỏi tùy theo kí tự thứ hai 
tính từ trái trong mã số so với bảng điểm ưu tiên theo tay nghề bên trên.</t>
  </si>
  <si>
    <r>
      <t>3. Cho biết kết quả “</t>
    </r>
    <r>
      <rPr>
        <b/>
        <sz val="12"/>
        <rFont val="Times New Roman"/>
        <family val="1"/>
        <charset val="163"/>
      </rPr>
      <t>đậu</t>
    </r>
    <r>
      <rPr>
        <sz val="12"/>
        <rFont val="Times New Roman"/>
        <family val="1"/>
        <charset val="163"/>
      </rPr>
      <t>” hoặc “</t>
    </r>
    <r>
      <rPr>
        <b/>
        <sz val="12"/>
        <rFont val="Times New Roman"/>
        <family val="1"/>
        <charset val="163"/>
      </rPr>
      <t>rớt</t>
    </r>
    <r>
      <rPr>
        <sz val="12"/>
        <rFont val="Times New Roman"/>
        <family val="1"/>
        <charset val="163"/>
      </rPr>
      <t>” dựa trên tổng điểm và điểm chuẩn của từng ngành. 
Trong đó, không được phép có 1 cột điểm từ 3 điểm trở xuống.</t>
    </r>
  </si>
  <si>
    <t>4. Xét học bổng cho từng thí sinh dựa vào điểm tổng cộng và bảng tiêu chuẩn học bổng 
tương ứng với từng ngành (chỉ xét cho những thí sinh có kết quả “đậu” mà thôi).</t>
  </si>
  <si>
    <t>5. Tính tổng số thí sinh có trong danh sách.</t>
  </si>
  <si>
    <t>6. Thống kê số thí sinh đạt theo từng ngành, tổng số thí sinh không đạt và số thí sinh được nhận học bổng</t>
  </si>
  <si>
    <t>7. Trang trí cho bảng tính.</t>
  </si>
  <si>
    <t>7) Thêm cột Điểm học bổng và lập công thức tính dựa vào ký tự đầu của Mã số (Mã ngành) và Bảng 2.</t>
  </si>
  <si>
    <t>9) Sắp xếp lại danh sách Kết quả tuyển sinh theo thứ tự tăng dần của 3 cốt điểm: Toán, Lý, Hóa.</t>
  </si>
  <si>
    <t>A*</t>
  </si>
  <si>
    <t>Đậu</t>
  </si>
  <si>
    <t>BẢNG THÔNG TIN RÚT TRÍCH CỦA CÁC THÍ SINH DỰ THI KHỐI A</t>
  </si>
  <si>
    <t>BẢNG ĐỒ PHẢN ÁNH TỈ LỆ TỔNG SỐ LƯỢNG NHẬP CỦA CÁC LOẠI MẶT HÀNG</t>
  </si>
  <si>
    <t>7) THUẾ: chỉ áp dụng cho những người có mức thu nhập từ 50.000 trở lên và được tính</t>
  </si>
  <si>
    <t>bằng 30% của số tiền vượt trên 50.000.</t>
  </si>
  <si>
    <t>NHỮNG CÔNG NHÂN VIÊN CÓ MỨC THU NHẬP &gt;=50.000</t>
  </si>
  <si>
    <t>9) Rút trích ra những công nhân viên có mức thu nhập &gt;= 50.000</t>
  </si>
  <si>
    <t>&gt;=50000</t>
  </si>
  <si>
    <t>NĂM:</t>
  </si>
  <si>
    <t>Câu hỏi yêu cầu</t>
  </si>
  <si>
    <t>ĐƠN GIÁ MỘT PHÚT</t>
  </si>
  <si>
    <t>Di động</t>
  </si>
  <si>
    <t>090</t>
  </si>
  <si>
    <t>091</t>
  </si>
  <si>
    <t>092</t>
  </si>
  <si>
    <t>093</t>
  </si>
  <si>
    <t>Ngày gọi</t>
  </si>
  <si>
    <t>Số gọi</t>
  </si>
  <si>
    <t>Giờ bắt đầu</t>
  </si>
  <si>
    <t>Giờ kết thúc</t>
  </si>
  <si>
    <t>Cước phí</t>
  </si>
  <si>
    <t>Khuyến mãi</t>
  </si>
  <si>
    <t>11.842016</t>
  </si>
  <si>
    <t>13.0913166658</t>
  </si>
  <si>
    <t>12.067822139</t>
  </si>
  <si>
    <t>11.882386</t>
  </si>
  <si>
    <t>13.0918662139</t>
  </si>
  <si>
    <t>13.0908363616</t>
  </si>
  <si>
    <t>Hình thức</t>
  </si>
  <si>
    <t>Tổng tiền</t>
  </si>
  <si>
    <t>Nội hạt</t>
  </si>
  <si>
    <t>Ngoai hat</t>
  </si>
  <si>
    <t>Di dong</t>
  </si>
  <si>
    <t>Trước 5/9/2004</t>
  </si>
  <si>
    <t>Từ 5/9/2004 đến 25/10/2004</t>
  </si>
  <si>
    <t>Số khách hàng được khuyến mãi</t>
  </si>
  <si>
    <t>Từ 5/9/2004
đến 25/10/2004</t>
  </si>
  <si>
    <t>Số khách hàng có số phút gọi &gt;=50</t>
  </si>
  <si>
    <t>0908363616</t>
  </si>
  <si>
    <t>NÓN</t>
  </si>
  <si>
    <t>BÀI THỰC HÀNH EXCEL SỐ 1</t>
  </si>
  <si>
    <t>Tháng:</t>
  </si>
  <si>
    <t>S
T
T</t>
  </si>
  <si>
    <t>TÊN
HÀNG</t>
  </si>
  <si>
    <t>SỐ
LƯỢNG</t>
  </si>
  <si>
    <t>ĐƠN
GIÁ</t>
  </si>
  <si>
    <t>TRỊ
GIÁ</t>
  </si>
  <si>
    <t>THUẾ</t>
  </si>
  <si>
    <t>CƯỚC
CHUYÊN
CHỞ</t>
  </si>
  <si>
    <t>CỘNG</t>
  </si>
  <si>
    <t>Video</t>
  </si>
  <si>
    <t>Ghế</t>
  </si>
  <si>
    <t>Giường</t>
  </si>
  <si>
    <t>Tủ</t>
  </si>
  <si>
    <t>Nệm</t>
  </si>
  <si>
    <t>Tivi</t>
  </si>
  <si>
    <t>Bàn</t>
  </si>
  <si>
    <t>TỔNG CỘNG:</t>
  </si>
  <si>
    <t>1) Nhập và định dạng dữ liệu như bảng tính sau:</t>
  </si>
  <si>
    <t>Yêu cầu tính toán:</t>
  </si>
  <si>
    <t>2) Đánh số thứ tự cho cột STT (sử dụng mốc điền).</t>
  </si>
  <si>
    <t>3) Định dạng cột đơn giá có dấu phân cách hàng ngàn.</t>
  </si>
  <si>
    <t>4) Trị giá = Số lượng * Đơn giá.</t>
  </si>
  <si>
    <t>5) Thuế = Trị giá * 5%.</t>
  </si>
  <si>
    <t>6) Cước chuyên chở = Số lượng * 1500.</t>
  </si>
  <si>
    <t>7) Cộng = Trị giá + Thuế + Cước chuyên chở.</t>
  </si>
  <si>
    <t>BẢNG KÊ HÀNG NHẬP KHO</t>
  </si>
  <si>
    <t>BÀI THỰC HÀNH EXCEL SỐ 2</t>
  </si>
  <si>
    <t>HỌ</t>
  </si>
  <si>
    <t>TÊN</t>
  </si>
  <si>
    <t>CHỨC
VỤ</t>
  </si>
  <si>
    <t>LƯƠNG
CĂN
BẢN</t>
  </si>
  <si>
    <t>NGÀY
CÔNG</t>
  </si>
  <si>
    <t>LƯƠNG</t>
  </si>
  <si>
    <t>CÒN
LẠI</t>
  </si>
  <si>
    <t>Trần Thị</t>
  </si>
  <si>
    <t>Yến</t>
  </si>
  <si>
    <t>Nguyễn</t>
  </si>
  <si>
    <t>Thành</t>
  </si>
  <si>
    <t>Đoàn</t>
  </si>
  <si>
    <t>An</t>
  </si>
  <si>
    <t>Lê</t>
  </si>
  <si>
    <t>Thanh</t>
  </si>
  <si>
    <t>Hồ</t>
  </si>
  <si>
    <t>Kim</t>
  </si>
  <si>
    <t>Trần</t>
  </si>
  <si>
    <t>Thế</t>
  </si>
  <si>
    <t>Nguyễn Văn</t>
  </si>
  <si>
    <t>Sơn</t>
  </si>
  <si>
    <t>Nam</t>
  </si>
  <si>
    <t>Hồ Tấn</t>
  </si>
  <si>
    <t>Tài</t>
  </si>
  <si>
    <t>NV</t>
  </si>
  <si>
    <t>BV</t>
  </si>
  <si>
    <t>TP</t>
  </si>
  <si>
    <t>GĐ</t>
  </si>
  <si>
    <t>PGĐ</t>
  </si>
  <si>
    <t>KT</t>
  </si>
  <si>
    <t>TẠM
ỨNG</t>
  </si>
  <si>
    <t>TRUNG BÌNH:</t>
  </si>
  <si>
    <t>CAO NHẤT:</t>
  </si>
  <si>
    <t>THẤP NHẤT:</t>
  </si>
  <si>
    <t>4) Lương = Lương căn bản * Ngày công.</t>
  </si>
  <si>
    <t xml:space="preserve">5) Tạm ứng được tính như sau:
- Nếu (Phụ cấp chức vụ + Lương)*2/3 &lt; 25000 thì
  Tạm ứng = (Phụ cấp chức vụ + Lương)*2/3
Ngược lại:
  Tạm ứng = 25000
(Làm tròn đến hàng ngàn, sử dụng hàm ROUND) </t>
  </si>
  <si>
    <t>3) Phụ cấp chức vụ được tính dựa vào chức vụ: (Sử dụng hàm IF)
    + GĐ: 500
    + PGĐ: 400
    + TP: 300
    + KT: 250
    + Các trường hợp khác: 100.</t>
  </si>
  <si>
    <t>PHỤ
CẤP
CHỨC VỤ</t>
  </si>
  <si>
    <t>7) Tháng: Dùng hàm lấy ra tháng hiện hành.</t>
  </si>
  <si>
    <t>BÀI THỰC HÀNH EXCEL SỐ 3</t>
  </si>
  <si>
    <t>Mã
hàng</t>
  </si>
  <si>
    <t>Tên hàng</t>
  </si>
  <si>
    <t>Số
lượng</t>
  </si>
  <si>
    <t>Đơn giá</t>
  </si>
  <si>
    <t>Tiền
chiết
khấu</t>
  </si>
  <si>
    <t>Thành
tiền</t>
  </si>
  <si>
    <t>ML01</t>
  </si>
  <si>
    <t>ML02</t>
  </si>
  <si>
    <t>ML03</t>
  </si>
  <si>
    <t>MG01</t>
  </si>
  <si>
    <t>MG02</t>
  </si>
  <si>
    <t>TV01</t>
  </si>
  <si>
    <t>TV02</t>
  </si>
  <si>
    <t>TL01</t>
  </si>
  <si>
    <t>Máy lạnh SANYO</t>
  </si>
  <si>
    <t>Máy lạnh HITACHI</t>
  </si>
  <si>
    <t>Máy lạnh NATIONAL</t>
  </si>
  <si>
    <t>Máy giặt HITACHI</t>
  </si>
  <si>
    <t>Máy giặt NATIONAL</t>
  </si>
  <si>
    <t>Tivi LG</t>
  </si>
  <si>
    <t>Tivi SONY</t>
  </si>
  <si>
    <t>Tủ lạnh HITACHI</t>
  </si>
  <si>
    <t>2) Định dạng cột Đơn giá có dấu phân cách hàng ngàn và đơn vị là VND.</t>
  </si>
  <si>
    <t>3) Tính Tiền chiết khấu như sau:
 Tiền chiết khấu = Đơn giá * Số lượng * Phần trăn chiết khấu.
 Với: phần trăm chiết khấu là 5% nếu số lượng &gt; 10,
         phần trăm chiết khấu là 2% nếu 8 &lt;= số lượng &lt;= 10,
         phần trăm chiết khấu là 1% nếu 5 &lt;= số lượng &lt;8,
         phần trăm chiết khấu là 0 nếu số lượng &lt; 5.</t>
  </si>
  <si>
    <t>4) Thành tiền = Đơn giá * Số lượng - Tiền chiết khấu.</t>
  </si>
  <si>
    <t>5) Tính tổng cộng cho các cột Tiền chiết khấu và Thành tiền.</t>
  </si>
  <si>
    <t>6) Sắp xếp bảng theo thứ tự giảm dần của cột Thành tiền. (Vào Data/Sort)</t>
  </si>
  <si>
    <t>BÀI THỰC HÀNH EXCEL SỐ 4</t>
  </si>
  <si>
    <t>BẢNG THEO DÕI NHẬP XUẤT HÀNG</t>
  </si>
  <si>
    <t>Nhập</t>
  </si>
  <si>
    <t>Xuất</t>
  </si>
  <si>
    <t>Tiền</t>
  </si>
  <si>
    <t>Thuế</t>
  </si>
  <si>
    <t>A001Y</t>
  </si>
  <si>
    <t>B012N</t>
  </si>
  <si>
    <t>B003Y</t>
  </si>
  <si>
    <t>A011N</t>
  </si>
  <si>
    <t>B054Y</t>
  </si>
  <si>
    <t>2) Tính cột Xuất như sau:
    + Nếu Mã hàng có ký tự đầu là A thì Xuất = 60% * Nhập
    + Nếu Mã hàng có ký tự đầu là B thì Xuất = 70% * Nhập</t>
  </si>
  <si>
    <t>3) Tính Đơn giá như sau:
    + Nếu Mã hàng có ký tự cuối là Y thì Đơn giá = 110000
    + Nếu Mã hàng có ký tự cuối là N thì Đơn giá = 135000</t>
  </si>
  <si>
    <t>4) Tính cột Tiền = Xuất * Đơn giá.</t>
  </si>
  <si>
    <t>5) Cột Thuế được tính như sau:
    + Nếu Mã hàng có ký tự đầu là A và ký tự cuối là Y thì Thuế = 8% của Tiền
    + Nếu Mã hàng có ký tự đầu là A và ký tự cuối là N thì Thuế = 11% của Tiền
    + Nếu Mã hàng có ký tự đầu là B và ký tự cuối là Y thì Thuế = 17% của Tiền
    + Nếu Mã hàng có ký tự đầu là B và ký tự cuối là N thì Thuế = 22% của Tiền.</t>
  </si>
  <si>
    <t>6) Còn lại = Phụ cấp chức vụ + Lương - Tạm ứng.</t>
  </si>
  <si>
    <t>BÀI THỰC HÀNH EXCEL SỐ 5</t>
  </si>
  <si>
    <t>STT</t>
  </si>
  <si>
    <t>DANH SÁCH THI TUYỂN</t>
  </si>
  <si>
    <t>NHẬP ĐIỂM</t>
  </si>
  <si>
    <t>LT</t>
  </si>
  <si>
    <t>TH</t>
  </si>
  <si>
    <t>LÝ
THUYẾT</t>
  </si>
  <si>
    <t>THỰC
HÀNH</t>
  </si>
  <si>
    <t>ĐTB</t>
  </si>
  <si>
    <t>XẾP
LOẠI</t>
  </si>
  <si>
    <t>Nguyễn Thái Nga</t>
  </si>
  <si>
    <t>Trương Ngọc Lan</t>
  </si>
  <si>
    <t>Lý Cẩm Nhi</t>
  </si>
  <si>
    <t>Lưu Thùy Nhi</t>
  </si>
  <si>
    <t>Trần Thị Bích Tuyền</t>
  </si>
  <si>
    <t>Điểm</t>
  </si>
  <si>
    <t>Xếp loại</t>
  </si>
  <si>
    <t>Rớt</t>
  </si>
  <si>
    <t>Trung bình</t>
  </si>
  <si>
    <t>Khá</t>
  </si>
  <si>
    <t>Giỏi</t>
  </si>
  <si>
    <t>BẢNG XẾP LOẠI</t>
  </si>
  <si>
    <t>TÊN THÍ SINH</t>
  </si>
  <si>
    <t>BÀI THỰC HÀNH EXCEL SỐ 6</t>
  </si>
  <si>
    <t>PHIẾU GIAO NHẬN</t>
  </si>
  <si>
    <t>LƯỢNG</t>
  </si>
  <si>
    <t>ĐƠN GIÁ</t>
  </si>
  <si>
    <t>THÀNH
TIỀN</t>
  </si>
  <si>
    <t>XB01</t>
  </si>
  <si>
    <t>S001</t>
  </si>
  <si>
    <t>T001</t>
  </si>
  <si>
    <t>KHUYẾN
MÃI</t>
  </si>
  <si>
    <t>Tổng cộng:</t>
  </si>
  <si>
    <t>MÃ SP</t>
  </si>
  <si>
    <t>TÊN
SP</t>
  </si>
  <si>
    <t>Tên SP</t>
  </si>
  <si>
    <t>Mã SP</t>
  </si>
  <si>
    <t>Xà bông LifeBoy</t>
  </si>
  <si>
    <t>Súp Knor</t>
  </si>
  <si>
    <t>SẢN PHẨM</t>
  </si>
  <si>
    <t>1) TÊN SP: Căn cứ vào MÃ SP, tra cứu trong bảng SẢN PHẨM.</t>
  </si>
  <si>
    <t>2) ĐƠN GIÁ: Căn cứ vào MÃ SP, tra cứu trong bảng SẢN PHẨM.</t>
  </si>
  <si>
    <t>3) Tính số lượng sản phẩm được khuyến mãi cho các mặt hàng theo quy tắc
    mua 5 tặng 1, cụ thể như sau (theo Lượng):</t>
  </si>
  <si>
    <t>- Từ 1 đến 4: không được tặng</t>
  </si>
  <si>
    <t>- Từ 5 đến 9: tặng 1 sản phẩm</t>
  </si>
  <si>
    <t>- Từ 10 đến 14: tặng 2 sản phẩm</t>
  </si>
  <si>
    <t>- Từ 15 đến 19: tặng 3 sản phẩm</t>
  </si>
  <si>
    <t>BÀI THỰC HÀNH EXCEL SỐ 7</t>
  </si>
  <si>
    <t>SỐ
TT</t>
  </si>
  <si>
    <t>HỌ VÀ TÊN</t>
  </si>
  <si>
    <t>MÃ SỐ NGÀNH-
ƯU TIÊN</t>
  </si>
  <si>
    <t>TOÁN</t>
  </si>
  <si>
    <t>LÝ</t>
  </si>
  <si>
    <t>ĐIỂM
ƯU TIÊN</t>
  </si>
  <si>
    <t>TỔNG
CỘNG</t>
  </si>
  <si>
    <t>KẾT
QUẢ</t>
  </si>
  <si>
    <t>TÊN
NGÀNH</t>
  </si>
  <si>
    <t>CỘNG
ĐIỂM</t>
  </si>
  <si>
    <t>Lê Văn Bình</t>
  </si>
  <si>
    <t>Trần Thị Cơ</t>
  </si>
  <si>
    <t>Lý Thị Loan</t>
  </si>
  <si>
    <t>Trần Hoàng Thái</t>
  </si>
  <si>
    <t>A1</t>
  </si>
  <si>
    <t>B3</t>
  </si>
  <si>
    <t>C2</t>
  </si>
  <si>
    <t>C4</t>
  </si>
  <si>
    <t>Mã ngành</t>
  </si>
  <si>
    <t>A</t>
  </si>
  <si>
    <t>B</t>
  </si>
  <si>
    <t>C</t>
  </si>
  <si>
    <t>Tên ngành</t>
  </si>
  <si>
    <t>Tin học</t>
  </si>
  <si>
    <t>Lý</t>
  </si>
  <si>
    <t>Hóa</t>
  </si>
  <si>
    <t>Mã
ưu tiên</t>
  </si>
  <si>
    <t>NGÀNH
HỌC</t>
  </si>
  <si>
    <t>2) CỘNG ĐIỂM = (TOÁN*2 + LÝ)</t>
  </si>
  <si>
    <t>ĐIỂM ƯU TIÊN</t>
  </si>
  <si>
    <t>4) TỔNG CỘNG = CỘNG ĐIỂM + ĐIỂM ƯU TIÊN.</t>
  </si>
  <si>
    <t>5) KẾT QuẢ: Nếu TỔNG CỘNG &gt; 18 thì ghi Đậu, ngược lại ghi Rớt.</t>
  </si>
  <si>
    <t>1) TÊN NGÀNH: Căn cứ vào ký tự đầu của MÃ SỐ NGÀNH-ƯU TIÊN,
tra cứu trong bảng NGÀNH HỌC.</t>
  </si>
  <si>
    <t>3) ĐIỂM ƯU TIÊN: Căn cứ vào ký tự cuối của MÃ SỐ NGÀNH-ƯU TIÊN,
tra trong bảng ĐIỂM ƯU TIÊN.</t>
  </si>
  <si>
    <t>BẢNG KẾT QUẢ TUYỂN SINH</t>
  </si>
  <si>
    <t>BÀI THỰC HÀNH EXCEL SỐ 8</t>
  </si>
  <si>
    <t>BÁO CÁO BÁN HÀNG</t>
  </si>
  <si>
    <t>MÃ MH</t>
  </si>
  <si>
    <t>MẶT HÀNG</t>
  </si>
  <si>
    <t>SỐ LƯỢNG</t>
  </si>
  <si>
    <t>PHÍ
CHUYÊN CHỞ</t>
  </si>
  <si>
    <t>HD1</t>
  </si>
  <si>
    <t>FD1</t>
  </si>
  <si>
    <t>MS1</t>
  </si>
  <si>
    <t>SD1</t>
  </si>
  <si>
    <t>DD1</t>
  </si>
  <si>
    <t>HD2</t>
  </si>
  <si>
    <t>MS2</t>
  </si>
  <si>
    <t>DD2</t>
  </si>
  <si>
    <t>FD</t>
  </si>
  <si>
    <t>HD</t>
  </si>
  <si>
    <t>MS</t>
  </si>
  <si>
    <t>SD</t>
  </si>
  <si>
    <t>DD</t>
  </si>
  <si>
    <t>Đĩa cứng</t>
  </si>
  <si>
    <t>Đĩa mềm</t>
  </si>
  <si>
    <t>Mouse</t>
  </si>
  <si>
    <t>SD Ram</t>
  </si>
  <si>
    <t>DD Ram</t>
  </si>
  <si>
    <t>1) MẶT HÀNG: Căn cứ vào MÃ MH, tra cứu ở bảng ĐƠN GIÁ.</t>
  </si>
  <si>
    <t>2) ĐƠN GIÁ: Căn cứ vào MÃ MH, tra cứu ở bảng ĐƠN GIÁ.</t>
  </si>
  <si>
    <t>3) PHÍ CHUYÊN CHỞ:</t>
  </si>
  <si>
    <t xml:space="preserve">   = 1% * ĐƠN GIÁ đối với mặt hàng loại 1 và 5% * ĐƠN GIÁ đối với mặt hàng loại 2.</t>
  </si>
  <si>
    <t>4) THÀNH TIỀN = SỐ LƯỢNG * (ĐƠN GIÁ + PHÍ CHUYÊN CHỞ).</t>
  </si>
  <si>
    <t>5) TỔNG CỘNG = THÀNH TIỀN - TIỀN GIẢM biết rằng nếu THÀNH TIỀN &gt;=1000
    sẽ giảm 1%*THÀNH TIỀN và định dạng với không số lẻ.</t>
  </si>
  <si>
    <t>BẢNG THỐNG KÊ</t>
  </si>
  <si>
    <t>Số lượng đã bán:</t>
  </si>
  <si>
    <r>
      <t xml:space="preserve">* </t>
    </r>
    <r>
      <rPr>
        <b/>
        <u/>
        <sz val="12"/>
        <rFont val="Times New Roman"/>
        <family val="1"/>
      </rPr>
      <t>Chú giải:</t>
    </r>
    <r>
      <rPr>
        <sz val="12"/>
        <rFont val="Times New Roman"/>
        <family val="1"/>
      </rPr>
      <t xml:space="preserve"> 2 ký tự đầu của MÃ MH cho biết Mặt hàng, ký tự cuối của MÃ MH cho biết
                   Đơn giá (Loại 1 hay Loại 2).</t>
    </r>
  </si>
  <si>
    <t>BÀI THỰC HÀNH EXCEL SỐ 9</t>
  </si>
  <si>
    <t>NGÀY</t>
  </si>
  <si>
    <t>BẮT ĐẦU</t>
  </si>
  <si>
    <t>KẾT THÚC</t>
  </si>
  <si>
    <t>SỐ PHÚT</t>
  </si>
  <si>
    <t>TỈNH</t>
  </si>
  <si>
    <t>TIỀN</t>
  </si>
  <si>
    <t>DTP</t>
  </si>
  <si>
    <t>AGG</t>
  </si>
  <si>
    <t>1) SỐ GiỜ = KẾT THÚC - BẮT ĐẦU.</t>
  </si>
  <si>
    <t>Tỉnh</t>
  </si>
  <si>
    <t>SỐ GIỜ</t>
  </si>
  <si>
    <t>2) SỐ PHÚT = GIỜ * 60 + PHÚT + GIÂY/60, với GIỜ, PHÚT, GIÂY là các giá trị giờ, phút, giây
    ở ô SỐ GIỜ tương ứng. Định dạng với 2 số lẻ.</t>
  </si>
  <si>
    <t>HNI</t>
  </si>
  <si>
    <t>BDG</t>
  </si>
  <si>
    <t>3) ĐƠN GIÁ: Căn cứ vào TỈNH, tra cứu trong bảng ĐƠN GIÁ.</t>
  </si>
  <si>
    <t>4) TIỀN = SỐ PHÚT * ĐƠN GIÁ.</t>
  </si>
  <si>
    <t>Số cuộc gọi từng tỉnh:</t>
  </si>
  <si>
    <t>AG</t>
  </si>
  <si>
    <t>BD</t>
  </si>
  <si>
    <t>BẢNG KÊ CHI TIẾT ĐẠI LÝ BƯU ĐIỆN TRONG NGÀY</t>
  </si>
  <si>
    <t>BẢNG TÍNH TIỀN NHẬP HÀNG</t>
  </si>
  <si>
    <t>Tên
hàng</t>
  </si>
  <si>
    <t>Loại
hàng</t>
  </si>
  <si>
    <t>Giá</t>
  </si>
  <si>
    <t>Trị
giá</t>
  </si>
  <si>
    <t>Phí
vận chuyển</t>
  </si>
  <si>
    <t>Radio</t>
  </si>
  <si>
    <t>Casette</t>
  </si>
  <si>
    <t>Đầu máy</t>
  </si>
  <si>
    <t>D</t>
  </si>
  <si>
    <t>Tủ lạnh</t>
  </si>
  <si>
    <t>Máy lạnh</t>
  </si>
  <si>
    <t>Yêu cầu:</t>
  </si>
  <si>
    <t>1) Nhập số liệu cho bảng tính</t>
  </si>
  <si>
    <t>2) Định dạng cột GIÁ có dấu phân cách hàng ngàn và đơn vị VND.</t>
  </si>
  <si>
    <t>3) Tính Trị giá như sau: Trị giá = Số lượng * Giá</t>
  </si>
  <si>
    <t>4) Tính Thuế như sau:</t>
  </si>
  <si>
    <t>Thuế = 10% * Trị giá nếu Loại hàng là A</t>
  </si>
  <si>
    <t>Thuế = 20% * Trị giá nếu Loại hàng là B</t>
  </si>
  <si>
    <t>Thuế = 30% * Trị giá nếu Loại hàng là C</t>
  </si>
  <si>
    <t>Thuế = 0 với các loại hàng khác</t>
  </si>
  <si>
    <t>5) Tính Tổng Số lượng và Tổng Trị giá</t>
  </si>
  <si>
    <t>6) Tính Phí vận chuyển như sau:</t>
  </si>
  <si>
    <t>Phí vận chuyển = (Tổng trị giá / Tổng số lượng) * Số lượng * 10%</t>
  </si>
  <si>
    <t>7) Tiền = Trị giá + Thuế + Phí vận chuyển</t>
  </si>
  <si>
    <t>8) Sắp xếp bảng tính tăng dần theo cột Phí vận chuyển</t>
  </si>
  <si>
    <t>BẢNG TÍNH TIỀN ĐIỆN</t>
  </si>
  <si>
    <t>LOẠI
SD</t>
  </si>
  <si>
    <t>CHỈ SỐ
ĐẦU</t>
  </si>
  <si>
    <t>CHỈ SỐ
CUỐI</t>
  </si>
  <si>
    <t>HỆ SỐ</t>
  </si>
  <si>
    <t>PHỤ
TRỘI</t>
  </si>
  <si>
    <t>NN</t>
  </si>
  <si>
    <t>TT</t>
  </si>
  <si>
    <t>KD</t>
  </si>
  <si>
    <t>CN</t>
  </si>
  <si>
    <t>2) Cột Hệ số được tính như sau:</t>
  </si>
  <si>
    <t>- Nếu Loại SD là "KD" thì Hệ số = 3</t>
  </si>
  <si>
    <t>- Nếu Loại SD là "NN" thì Hệ số = 5</t>
  </si>
  <si>
    <t>- Nếu Loại SD là "TT" thì Hệ số = 4</t>
  </si>
  <si>
    <t>- Nếu Loại SD là "CN" thì Hệ số = 2</t>
  </si>
  <si>
    <t>4) Tính Phụ trội như sau:</t>
  </si>
  <si>
    <t>6) Sắp xếp bảng tính giảm dần theo cột Cộng.</t>
  </si>
  <si>
    <t>7) Tháng: Dùng hàm lấy ra tháng, năm hiện tại.</t>
  </si>
  <si>
    <t>BẢNG CHI PHÍ VẬN CHUYỂN</t>
  </si>
  <si>
    <t>Tỷ giá USD:</t>
  </si>
  <si>
    <t>CHỦ
HÀNG</t>
  </si>
  <si>
    <t>LOẠI
HÀNG</t>
  </si>
  <si>
    <t>ĐỊNH
MỨC</t>
  </si>
  <si>
    <t>TRỌNG
LƯỢNG</t>
  </si>
  <si>
    <t>GIÁ
CƯỚC</t>
  </si>
  <si>
    <t>TIỀN
PHẠT</t>
  </si>
  <si>
    <t>THÀNH
TIỀN
(VN)</t>
  </si>
  <si>
    <t>Cty A</t>
  </si>
  <si>
    <t>XN B</t>
  </si>
  <si>
    <t>Tổ hợp C</t>
  </si>
  <si>
    <t>DNTN D</t>
  </si>
  <si>
    <t>Cty E</t>
  </si>
  <si>
    <t>XN F</t>
  </si>
  <si>
    <t>Cty G</t>
  </si>
  <si>
    <t>BẢNG ĐỊNH MỨC VÀ GIÁ CƯỚC</t>
  </si>
  <si>
    <t>3) Tính TIỀN PHẠT như sau:</t>
  </si>
  <si>
    <t>-Nếu TRỌNG LƯỢNG &gt; ĐỊNH MỨC thì:</t>
  </si>
  <si>
    <t xml:space="preserve">    TIỀN PHẠT = (TRỌNG LƯỢNG - ĐỊNH MỨC) * 20% * GIÁ CƯỚC</t>
  </si>
  <si>
    <t>-Ngược lại: TIỀNPHẠT = 0.</t>
  </si>
  <si>
    <t>4) Tính THÀNH TIỀN như sau:</t>
  </si>
  <si>
    <t>THÀNH TIỀN = (GIÁ CƯỚC + TIỀN PHẠT) * Tỷ giá USD</t>
  </si>
  <si>
    <t>5) Sắp xếp bảng tính giảm dần theo cột THÀNH TIỀN (VN).</t>
  </si>
  <si>
    <t>Bảng 1- BẢNG ĐIỂM CHUẨN</t>
  </si>
  <si>
    <t>Bảng 2- BẢNG ĐIỂM HỌC BỔNG</t>
  </si>
  <si>
    <t>Mã
ngành</t>
  </si>
  <si>
    <t>Ngành
thi</t>
  </si>
  <si>
    <t>Điểm
chuẩn 1</t>
  </si>
  <si>
    <t>Điểm
chuẩn 2</t>
  </si>
  <si>
    <t>Máy tính</t>
  </si>
  <si>
    <t>Điểm HB</t>
  </si>
  <si>
    <t>Điện tử</t>
  </si>
  <si>
    <t>Cơ khí</t>
  </si>
  <si>
    <t>KẾT QUẢ TUYỂN SINH NĂM 2005</t>
  </si>
  <si>
    <t>Mã
số</t>
  </si>
  <si>
    <t>Họ</t>
  </si>
  <si>
    <t>Tên</t>
  </si>
  <si>
    <t>Khu
vực</t>
  </si>
  <si>
    <t>Toán</t>
  </si>
  <si>
    <t>Kết
quả</t>
  </si>
  <si>
    <t>A101</t>
  </si>
  <si>
    <t>Trung</t>
  </si>
  <si>
    <t>B102</t>
  </si>
  <si>
    <t>Kiều</t>
  </si>
  <si>
    <t>Nga</t>
  </si>
  <si>
    <t>C203</t>
  </si>
  <si>
    <t>Mạnh</t>
  </si>
  <si>
    <t>D204</t>
  </si>
  <si>
    <t>Phạm</t>
  </si>
  <si>
    <t>Uyên</t>
  </si>
  <si>
    <t>A205</t>
  </si>
  <si>
    <t>Tùng</t>
  </si>
  <si>
    <t>C106</t>
  </si>
  <si>
    <t>Hùng</t>
  </si>
  <si>
    <t>D107</t>
  </si>
  <si>
    <t>Hoa</t>
  </si>
  <si>
    <t>A208</t>
  </si>
  <si>
    <t>Lâm</t>
  </si>
  <si>
    <t>1) Chèn vào trước cột Kết quả hai cột: Tổng cộng, Điểm chuẩn.</t>
  </si>
  <si>
    <t>2) Sắp xếp bảng tính KẾT QUẢ TUYỂN SINH theo thứ tự Tên tăng dần.</t>
  </si>
  <si>
    <t>3) Lập công thức điền dữ liệu cho các cột Khu vực và Ngành thi
tương ứng cho từng thí sinh.</t>
  </si>
  <si>
    <t>Trong đó:</t>
  </si>
  <si>
    <t>- Khu vực là ký tự thứ 2 của Mã số</t>
  </si>
  <si>
    <t>- Ngành thi: dựa vào ký tự đầu của Mã số và Bảng 1.</t>
  </si>
  <si>
    <t>4) Từ ký tự đầu của Mã số (Mã ngành), Khu vực và Bảng 1,
hãy điền dữ liệu cho cột Điểm chuẩn.</t>
  </si>
  <si>
    <t>Trong đó, nếu thí sinh thuộc khu vực 1 thì lấy Điểm chuẩn1, ngược lại lấy Điểm chuẩn2.</t>
  </si>
  <si>
    <t>5) Tính Tổng cộng là tổng điểm của 3 môn.</t>
  </si>
  <si>
    <t>6) Hãy lập công thức điền Kết quả như sau:</t>
  </si>
  <si>
    <t xml:space="preserve"> Nếu thí sinh có điểm Tổng cộng &gt;= Điểm chuẩn của ngành mình dự thi</t>
  </si>
  <si>
    <t>thì sẽ có kết quả là "Đậu", ngược lại là "Rớt".</t>
  </si>
  <si>
    <t>8) Thêm cột Học bổng và lập công thức điền vào đó là "Có" nếu điểm Tổng cộng của</t>
  </si>
  <si>
    <t>thí sinh &gt;= Điểm học bổng, trường hợp ngược lại để trống.</t>
  </si>
  <si>
    <t>Số TS
có học bổng</t>
  </si>
  <si>
    <r>
      <t xml:space="preserve">6) Trang trí cho bảng tính và lưu lại với tên </t>
    </r>
    <r>
      <rPr>
        <b/>
        <sz val="12"/>
        <rFont val="Times New Roman"/>
        <family val="1"/>
      </rPr>
      <t>Bai10.xls</t>
    </r>
  </si>
  <si>
    <t>BÀI THỰC HÀNH EXCEL SỐ 10</t>
  </si>
  <si>
    <r>
      <t xml:space="preserve">7) Trang trí cho bảng tính và lưu lại với tên </t>
    </r>
    <r>
      <rPr>
        <b/>
        <sz val="12"/>
        <rFont val="Times New Roman"/>
        <family val="1"/>
      </rPr>
      <t>Bai11.xls</t>
    </r>
  </si>
  <si>
    <t>BÀI THỰC HÀNH EXCEL SỐ 11</t>
  </si>
  <si>
    <t>BÀI THỰC HÀNH EXCEL SỐ 12</t>
  </si>
  <si>
    <t>BÀI THỰC HÀNH EXCEL SỐ 13</t>
  </si>
  <si>
    <t>10) Rút trích thông tin của các thí sinh của các thí sinh dự thi khối A.</t>
  </si>
  <si>
    <t>BÀI THỰC HÀNH EXCEL SỐ 14</t>
  </si>
  <si>
    <t>Tỉ giá:</t>
  </si>
  <si>
    <t>MÃ
HÀNG</t>
  </si>
  <si>
    <t>NGÀY SX</t>
  </si>
  <si>
    <t>NHẬP</t>
  </si>
  <si>
    <t>XUẤT</t>
  </si>
  <si>
    <t>ĐƠN GIÁ
(USD)</t>
  </si>
  <si>
    <t>TRỊ GIÁ
(VNĐ)</t>
  </si>
  <si>
    <t>TV</t>
  </si>
  <si>
    <t>MPT</t>
  </si>
  <si>
    <t>ML</t>
  </si>
  <si>
    <t>MDT</t>
  </si>
  <si>
    <t>TL</t>
  </si>
  <si>
    <t>x</t>
  </si>
  <si>
    <t>Đơn giá (USD)</t>
  </si>
  <si>
    <t>Ti vi</t>
  </si>
  <si>
    <t>Máy photo</t>
  </si>
  <si>
    <t>Máy điện thoại</t>
  </si>
  <si>
    <t>Tổng SL xuất</t>
  </si>
  <si>
    <t>Tổng SL nhập</t>
  </si>
  <si>
    <t>Mô tả:</t>
  </si>
  <si>
    <t>1) Tên hàng: Dựa vào Mã hàng, tra trong Bảng Hàng hóa.</t>
  </si>
  <si>
    <t>- Cột Nhập và cột Xuất: Tùy theo cột nào có đánh dấu x để biết được là hàng Nhập hay Xuất.</t>
  </si>
  <si>
    <t>2) Đơn giá (USD): Dựa vào Mã hàng và Nhập hay Xuất, tra trong Bảng Hàng hóa.</t>
  </si>
  <si>
    <t>3) Trị giá (VNĐ): Số lượng * Đơn giá (USD) * Tỉ giá. Tuy nhiên nếu mặt hàng xuất trong ngày</t>
  </si>
  <si>
    <t>20/01/2005 thì giảm 5% Đơn giá.</t>
  </si>
  <si>
    <t>5) Tổng cộng: Tính tổng Số lượng, Tổng trị giá, Có bao nhiêu mặt hàng khuyến mãi.</t>
  </si>
  <si>
    <t>6) Sắp xếp lại bảng tính theo thứ tự tăng dần của Mã hàng, nếu trùng thì sắp giảm dần theo Số lượng.</t>
  </si>
  <si>
    <t>7) Rút trích thông tin của các mặt hàng được nhập trong 15 ngày đầu tiên của tháng 1 năm 2005.</t>
  </si>
  <si>
    <t>12) Dựa vào bảng thống kê trên, hãy vẽ bảng đồ dạng PIE phản ánh tỉ lệ thí sinh đậu, rớt.</t>
  </si>
  <si>
    <t>9) Dựa vào BẢNG THỐNG KÊ, hãy vẽ bảng đồ dạng Column phản ánh tỉ lệ tổng SL nhập</t>
  </si>
  <si>
    <t>của các loại mặt hàng.</t>
  </si>
  <si>
    <t>BÀI THỰC HÀNH EXCEL SỐ 15</t>
  </si>
  <si>
    <t>Mã hàng</t>
  </si>
  <si>
    <t>Số lượng</t>
  </si>
  <si>
    <t>Thành tiền</t>
  </si>
  <si>
    <t>Trả trước</t>
  </si>
  <si>
    <t>Còn lại</t>
  </si>
  <si>
    <t>S05N</t>
  </si>
  <si>
    <t>K03N</t>
  </si>
  <si>
    <t>G06N</t>
  </si>
  <si>
    <t>X06X</t>
  </si>
  <si>
    <t>S04N</t>
  </si>
  <si>
    <t>K10X</t>
  </si>
  <si>
    <t>X09N</t>
  </si>
  <si>
    <t>BẢNG 1</t>
  </si>
  <si>
    <t>Mã số</t>
  </si>
  <si>
    <t>K</t>
  </si>
  <si>
    <t>G</t>
  </si>
  <si>
    <t>T</t>
  </si>
  <si>
    <t>S</t>
  </si>
  <si>
    <t>X</t>
  </si>
  <si>
    <t>Vải Katê</t>
  </si>
  <si>
    <t>Gấm T.hải</t>
  </si>
  <si>
    <t>Vải Tole</t>
  </si>
  <si>
    <t>Vải Silk</t>
  </si>
  <si>
    <t>Vải xô</t>
  </si>
  <si>
    <t>ĐG (đ/m)</t>
  </si>
  <si>
    <t>Từ tháng</t>
  </si>
  <si>
    <t>Tỉ lệ</t>
  </si>
  <si>
    <t>BẢNG 2</t>
  </si>
  <si>
    <t>Tháng</t>
  </si>
  <si>
    <t>Từ tháng 01 -&gt; tháng 03: Tỉ lệ = 1.2%</t>
  </si>
  <si>
    <t>Từ tháng 04 -&gt; tháng 09: Tỉ lệ = 1.5%</t>
  </si>
  <si>
    <t>Từ tháng 09 -&gt; tháng 12: Tỉ lệ = 1.75%</t>
  </si>
  <si>
    <t>1 -&gt; 3</t>
  </si>
  <si>
    <t>4 -&gt; 6</t>
  </si>
  <si>
    <t>Lưu ý:</t>
  </si>
  <si>
    <t>- Định dạng các cột đơn vị tiền tệ 1,000 VND hay 1,000 USD (thêm phần thập phân - nếu có),</t>
  </si>
  <si>
    <t>canh lề phải.</t>
  </si>
  <si>
    <t>- Ký tự đầu của Mã hàng cho biết Mã số của mặt hàng.</t>
  </si>
  <si>
    <t>- 2 ký tự thứ 2, 3 của Mã hàng cho biết tháng nhập hàng.</t>
  </si>
  <si>
    <t>- Ký tự cuối của Mã hàng cho biết hàng này được nhập (N) hay được xuất (X).</t>
  </si>
  <si>
    <t>BẢNG HÀNG HÓA:</t>
  </si>
  <si>
    <t>BẢNG THỐNG KÊ:</t>
  </si>
  <si>
    <t>1) Tên hàng: Dựa vào Mã số tra trong BẢNG 1 để lấy tên hàng tương ứng.</t>
  </si>
  <si>
    <t>2) Thành tiền = Số lượng * Đơn giá (đ/m). Biết rằng:</t>
  </si>
  <si>
    <t>+ Đơn giá (đ/m): Dựa vào Mã số, tra trong BẢNG 1 để lấy đơn giá tương ứng.</t>
  </si>
  <si>
    <t>3) Thuế = Thành tiền * Tỉ lệ. Biết rằng:</t>
  </si>
  <si>
    <t>+ Tỉ lệ: Dựa vào 2 ký tự thứ 2, 3 của Mã hàng để lấy Tỉ lệ tương ứng trong BẢNG 2.</t>
  </si>
  <si>
    <t>4) Trả trước: Biết rằng:</t>
  </si>
  <si>
    <t>+ Nếu Thành tiền &gt;= 5000000 thì Trả trước = 75% * Thành tiền,</t>
  </si>
  <si>
    <t>5) Còn lại = Thành tiền - Trả trước.</t>
  </si>
  <si>
    <t>7) Rút trích thông tin của mặt hàng "Vải Katê" được nhập từ tháng 3 trở về sau.</t>
  </si>
  <si>
    <t>4) THÀNH TIỀN = (LƯỢNG - KHUYẾN MÃI) * ĐƠN GIÁ.</t>
  </si>
  <si>
    <t>1) Nhập số liệu và trang trí cho bảng tính.</t>
  </si>
  <si>
    <t>2) Tính ĐỊNH MỨC và GIÁ CƯỚC dựa vào LOẠI HÀNG.</t>
  </si>
  <si>
    <t>BÀI THỰC HÀNH EXCEL SỐ 16</t>
  </si>
  <si>
    <t>- Phụ trội = 0 nếu (Chỉ số cuối - Chỉ số đầu) &lt; 50</t>
  </si>
  <si>
    <t>- Phụ trội = Thành tiền * 35% nếu 50 &lt;= (Chỉ số cuối - Chỉ số đầu) &lt;= 100</t>
  </si>
  <si>
    <t>- Phụ trội = Thành tiền * 100% nếu (Chỉ số cuối - Chỉ số đầu) &gt; 100</t>
  </si>
  <si>
    <t>HỌ TÊN</t>
  </si>
  <si>
    <t>MÃ NV</t>
  </si>
  <si>
    <t>TÊN
ĐƠN VỊ</t>
  </si>
  <si>
    <t>SỐ LƯỢNG
SP</t>
  </si>
  <si>
    <t>THỰC LÃNH</t>
  </si>
  <si>
    <t>Bình</t>
  </si>
  <si>
    <t>Công</t>
  </si>
  <si>
    <t>Danh</t>
  </si>
  <si>
    <t>Đào</t>
  </si>
  <si>
    <t>Giang</t>
  </si>
  <si>
    <t>Khoa</t>
  </si>
  <si>
    <t>Loan</t>
  </si>
  <si>
    <t>Minh</t>
  </si>
  <si>
    <t>01DH4</t>
  </si>
  <si>
    <t>02NH2</t>
  </si>
  <si>
    <t>03NH6</t>
  </si>
  <si>
    <t>04DH4</t>
  </si>
  <si>
    <t>05NH2</t>
  </si>
  <si>
    <t>06DH2</t>
  </si>
  <si>
    <t>07DH1</t>
  </si>
  <si>
    <t>08DH7</t>
  </si>
  <si>
    <t>09NH5</t>
  </si>
  <si>
    <t>10NH3</t>
  </si>
  <si>
    <t>SX-PX1</t>
  </si>
  <si>
    <t>SX-PX2</t>
  </si>
  <si>
    <t>QL-PX1</t>
  </si>
  <si>
    <t>QL-PX2</t>
  </si>
  <si>
    <t>SX-PX3</t>
  </si>
  <si>
    <t>SX-PX4</t>
  </si>
  <si>
    <t>QL-PX3</t>
  </si>
  <si>
    <t>QL-PX4</t>
  </si>
  <si>
    <t>1) Chèn vào giữa cột SỐ LƯỢNG SP và cộ TẠM ỨNG các cột: LƯƠNG SP, BHXH, HỆ SỐ,</t>
  </si>
  <si>
    <t>2) Lập công thức tính lương sản phẩm:</t>
  </si>
  <si>
    <t>BẢNG ĐƠN GIÁ</t>
  </si>
  <si>
    <t>SX</t>
  </si>
  <si>
    <t>QL</t>
  </si>
  <si>
    <t>PX1</t>
  </si>
  <si>
    <t>PX2</t>
  </si>
  <si>
    <t>PX3</t>
  </si>
  <si>
    <t>PX4</t>
  </si>
  <si>
    <t>BẢNG HỆ SỐ</t>
  </si>
  <si>
    <t>Bậc</t>
  </si>
  <si>
    <t>Hệ số</t>
  </si>
  <si>
    <t>3) Bảo hiểm xã hội (BHXH) được quy định bằng 5% lương sản phẩm nhưng chỉ tính cho</t>
  </si>
  <si>
    <t>những người có hợp đồng dài hạn và loại hợp đồng được ghi trong MÃ NV.</t>
  </si>
  <si>
    <t>(DH: Dài hạn, NH: Ngắn hạn)</t>
  </si>
  <si>
    <t>5) THU NHẬP: Nếu thuộc bộ phận quản lý (QL) thì THU NHẬP = LƯƠNG SP * HỆ SỐ,</t>
  </si>
  <si>
    <t>ngược lại: THU NHẬP chính là LƯƠNG SP.</t>
  </si>
  <si>
    <t>6) TẠM ỨNG: Công nhân có cấp bậc từ 5 trở lên sẽ được tạm ứng bằng 1/3 của mức</t>
  </si>
  <si>
    <t>THU NHẬP, ngược lại TẠM ỨNG là 1/5 mức THU NHẬP.</t>
  </si>
  <si>
    <t>8) THỰC LÃNH = THU NHẬP - (BHXH + TẠM ỨNG).</t>
  </si>
  <si>
    <t>10) Tháng: Dùng hàm lấy ra Tháng và Năm hiện tại. Vd: 09/2006.</t>
  </si>
  <si>
    <t>4) Điền dữ liệu vào cột HỆ SỐ dựa vào cấp bậc (là ký tự cuối của MÃ NV) và BẢNG HỆ SỐ.</t>
  </si>
  <si>
    <t>- Định dạng các cột số canh lề phải, theo định dạng 1,000 (có dấu phân cách hàng nghìn)</t>
  </si>
  <si>
    <t xml:space="preserve"> hay 1,000.00 (có dấu phân cách hàng nghìn, phần thập phân - nếu có).</t>
  </si>
  <si>
    <t>6) Sắp xếp lại bảng tính theo thứ tự tăng dần của Mã số, nếu trùng thì sắp giảm dần</t>
  </si>
  <si>
    <t>theo Thành tiền.</t>
  </si>
  <si>
    <t>BÀI THỰC HÀNH EXCEL SỐ 17</t>
  </si>
  <si>
    <t>BÁO CÁO BÁN HÀNG THÉP XÂY DỰNG</t>
  </si>
  <si>
    <t>Mã QG</t>
  </si>
  <si>
    <t>Ngày bán</t>
  </si>
  <si>
    <t>Trị giá</t>
  </si>
  <si>
    <t>Đơn vị tính: USD</t>
  </si>
  <si>
    <t>TR20C</t>
  </si>
  <si>
    <t>TA10C</t>
  </si>
  <si>
    <t>TR20T</t>
  </si>
  <si>
    <t>GO55T</t>
  </si>
  <si>
    <t>GIỜ</t>
  </si>
  <si>
    <t>TIỀN GIẢM</t>
  </si>
  <si>
    <t>TIỀN PHẢI TRẢ</t>
  </si>
  <si>
    <t>TRẢ MÁY</t>
  </si>
  <si>
    <t>NHẬN MÁY</t>
  </si>
  <si>
    <t>HÌNH THỨC THUÊ</t>
  </si>
  <si>
    <t>MÃ SỐ</t>
  </si>
  <si>
    <t>Câu 3: Tính cột TT Tuần = Số tuần * ĐG Tuần</t>
  </si>
  <si>
    <t>Câu 6: Tính cột TT Ngày = Số Ngày * ĐG Ngày</t>
  </si>
  <si>
    <t>Câu 8: Tính Cột Tổng = TT Tuần + TT Ngày + Dịch vụ</t>
  </si>
  <si>
    <t>TỔNG</t>
  </si>
  <si>
    <t>Câu 1: Tính cột Diện CS biết rằng Cột STT gồm 4 kí tự, kí tự thứ 2 cho biết Diện CS</t>
  </si>
  <si>
    <t>Câu 2: Tính cột Tổng Điểm:</t>
  </si>
  <si>
    <t>Tổng điểm = Môn CS + Môn CN1 + Môn CN2 + Điểm CS</t>
  </si>
  <si>
    <t>Trong đó: Điểm CS là 1 nếu Diện CS là 1, Điểm CS là 0,5 nếu Diện CS là 2.</t>
  </si>
  <si>
    <t>Còn lại Điểm CS là 0</t>
  </si>
  <si>
    <t>Câu 3: Tính Cột Loại HB biết rằng:</t>
  </si>
  <si>
    <t>- Loại HB = A nếu Tổng điểm &gt;= 24 và không có môn nào nhỏ hơn 8</t>
  </si>
  <si>
    <t>- Loại HB = B nếu:</t>
  </si>
  <si>
    <t>Hoặc Tổng điểm &gt;= 24 và không có môn nào nhỏ hơn 6</t>
  </si>
  <si>
    <t>Hoặc Tổng điểm &gt;= 22 và không có môn nào nhỏ hơn 6 và Diện CS là 1</t>
  </si>
  <si>
    <t>- Còn lại là Loại C</t>
  </si>
  <si>
    <t>PL LAO ĐỘNG</t>
  </si>
  <si>
    <t>NGÀY CÔNG</t>
  </si>
  <si>
    <t>XẾP LOẠI</t>
  </si>
  <si>
    <t>TIỀN THƯỞNG</t>
  </si>
  <si>
    <t>CC</t>
  </si>
  <si>
    <t>DH</t>
  </si>
  <si>
    <t>Câu 1: Tính cột Xếp Loại: dựa vào số Ngày Công</t>
  </si>
  <si>
    <t xml:space="preserve"> - Nếu Ngày Công &gt;=22 thì xếp loại A</t>
  </si>
  <si>
    <t xml:space="preserve"> - Nếu Ngày Công &gt;=20 thì xếp loại B</t>
  </si>
  <si>
    <t xml:space="preserve"> - Nếu Ngày Công &gt;=18 thì xếp loại C</t>
  </si>
  <si>
    <t xml:space="preserve"> - Còn lại xếp loại D</t>
  </si>
  <si>
    <t>Câu 2: Tính cột Tiền Thưởng dựa vào Bảng Tiền thưởng sau:</t>
  </si>
  <si>
    <t>NGÀY ĐẾN</t>
  </si>
  <si>
    <t>PHÒNG DỊCH VỤ</t>
  </si>
  <si>
    <t>ĐG Tuần</t>
  </si>
  <si>
    <t>TT Tuần</t>
  </si>
  <si>
    <t>Số Ngày</t>
  </si>
  <si>
    <t>ĐG Ngày</t>
  </si>
  <si>
    <t>TT Ngày</t>
  </si>
  <si>
    <t>Hà</t>
  </si>
  <si>
    <t>Mậu</t>
  </si>
  <si>
    <t>Thu</t>
  </si>
  <si>
    <t>Cao</t>
  </si>
  <si>
    <t>101-A</t>
  </si>
  <si>
    <t>205-B</t>
  </si>
  <si>
    <t>109-C</t>
  </si>
  <si>
    <t>302-B</t>
  </si>
  <si>
    <t>108-C</t>
  </si>
  <si>
    <t>207-A</t>
  </si>
  <si>
    <t>105-C</t>
  </si>
  <si>
    <t>301-C</t>
  </si>
  <si>
    <t>Câu 1: Tính cột số tuần biết rằng: Số tuần = (Ngày đi - Ngày đến)/7 và chỉ lấy phần nguyên</t>
  </si>
  <si>
    <t>Câu 2: Tính cột ĐG Tuần biết rằng ĐG Tuần được tính dựa theo Loại phòng (Bảng Giá theo Loại phòng).</t>
  </si>
  <si>
    <t>Ký tự đầu tiên bên trái của Cột Phòng Dịch vụ thể hiện Loại phòng</t>
  </si>
  <si>
    <t>Giá tuần</t>
  </si>
  <si>
    <t>Giá ngày</t>
  </si>
  <si>
    <t>Câu 4: Tính cột Số ngày = (Ngày đi - Ngày đến)/7 và chỉ lấy phần dư</t>
  </si>
  <si>
    <t>Câu 5: Tính cột ĐG Ngày: Tương tự như ĐG Tuần</t>
  </si>
  <si>
    <t>Câu 7: Tính cột Dịch vụ: = (Ngày đi - Ngày đến)* Giá Dịch vụ mỗi ngày (Dựa theo Bảng Giá Dịch vụ và Loại phòng. Ký tự đầu tiên bên phải của Cột Phòng Dịch vụ thể hiện Loại phòng)</t>
  </si>
  <si>
    <t>Ngày đi: 20/05/2005</t>
  </si>
  <si>
    <t>DIỆN CS</t>
  </si>
  <si>
    <t>ĐIỂM THI</t>
  </si>
  <si>
    <t>MÔN CS</t>
  </si>
  <si>
    <t>MÔN CN1</t>
  </si>
  <si>
    <t>MÔN CN2</t>
  </si>
  <si>
    <t>TỔNG ĐIỂM</t>
  </si>
  <si>
    <t>LOẠI HỌC BỔNG</t>
  </si>
  <si>
    <t>HỌC BỔNG</t>
  </si>
  <si>
    <t>D201</t>
  </si>
  <si>
    <t>D202</t>
  </si>
  <si>
    <t>N103</t>
  </si>
  <si>
    <t>D404</t>
  </si>
  <si>
    <t>N206</t>
  </si>
  <si>
    <t>Loại HB</t>
  </si>
  <si>
    <t>Mức HB</t>
  </si>
  <si>
    <t>Tổng</t>
  </si>
  <si>
    <t>Câu 4: Tính cột Học Bổng (Dựa vào Loại Học bổng và được tra cứu trên bảng Loại</t>
  </si>
  <si>
    <t>học bổng)</t>
  </si>
  <si>
    <t>Câu 5: Tính cột Tổng: Tổng tiền học bổng đã phát cho từng Loại học bổng</t>
  </si>
  <si>
    <t>D105</t>
  </si>
  <si>
    <t xml:space="preserve">B </t>
  </si>
  <si>
    <t>F</t>
  </si>
  <si>
    <t>Thưởng</t>
  </si>
  <si>
    <t>KẾT QUẢ KIỂM TRA CHẤT LƯỢNG ĐẦU NĂM</t>
  </si>
  <si>
    <t>Lớp</t>
  </si>
  <si>
    <t>Môn Kiểm Tra</t>
  </si>
  <si>
    <t>Tổng
Điểm</t>
  </si>
  <si>
    <t>Kết
Quả</t>
  </si>
  <si>
    <t>12A1</t>
  </si>
  <si>
    <t>12A2</t>
  </si>
  <si>
    <t>10A1</t>
  </si>
  <si>
    <t>11A2</t>
  </si>
  <si>
    <t>12C1</t>
  </si>
  <si>
    <t>10D3</t>
  </si>
  <si>
    <t>12B3</t>
  </si>
  <si>
    <t>Chinh</t>
  </si>
  <si>
    <t>10C1</t>
  </si>
  <si>
    <t>11B2</t>
  </si>
  <si>
    <r>
      <t xml:space="preserve">Tính </t>
    </r>
    <r>
      <rPr>
        <b/>
        <sz val="12"/>
        <color indexed="10"/>
        <rFont val="Times New Roman"/>
        <family val="1"/>
        <charset val="163"/>
      </rPr>
      <t xml:space="preserve">Tổng Điểm </t>
    </r>
    <r>
      <rPr>
        <sz val="12"/>
        <rFont val="Times New Roman"/>
        <family val="1"/>
        <charset val="163"/>
      </rPr>
      <t xml:space="preserve">= Điểm </t>
    </r>
    <r>
      <rPr>
        <b/>
        <sz val="12"/>
        <color indexed="12"/>
        <rFont val="Times New Roman"/>
        <family val="1"/>
        <charset val="163"/>
      </rPr>
      <t>Toán</t>
    </r>
    <r>
      <rPr>
        <sz val="12"/>
        <rFont val="Times New Roman"/>
        <family val="1"/>
        <charset val="163"/>
      </rPr>
      <t xml:space="preserve"> + Điểm </t>
    </r>
    <r>
      <rPr>
        <b/>
        <sz val="12"/>
        <color indexed="53"/>
        <rFont val="Times New Roman"/>
        <family val="1"/>
        <charset val="163"/>
      </rPr>
      <t>Lý</t>
    </r>
    <r>
      <rPr>
        <sz val="12"/>
        <rFont val="Times New Roman"/>
        <family val="1"/>
        <charset val="163"/>
      </rPr>
      <t xml:space="preserve"> + Điểm </t>
    </r>
    <r>
      <rPr>
        <b/>
        <sz val="12"/>
        <color indexed="56"/>
        <rFont val="Times New Roman"/>
        <family val="1"/>
        <charset val="163"/>
      </rPr>
      <t>Hoá</t>
    </r>
  </si>
  <si>
    <r>
      <t xml:space="preserve">Hãy tạo giá trị cho cột </t>
    </r>
    <r>
      <rPr>
        <b/>
        <sz val="12"/>
        <color indexed="12"/>
        <rFont val="Times New Roman"/>
        <family val="1"/>
        <charset val="163"/>
      </rPr>
      <t xml:space="preserve">Kết Quả </t>
    </r>
    <r>
      <rPr>
        <sz val="12"/>
        <rFont val="Times New Roman"/>
        <family val="1"/>
        <charset val="163"/>
      </rPr>
      <t>biết rằng:</t>
    </r>
  </si>
  <si>
    <r>
      <t xml:space="preserve"> - Học sinh nào thi cả </t>
    </r>
    <r>
      <rPr>
        <i/>
        <sz val="12"/>
        <rFont val="Times New Roman"/>
        <family val="1"/>
        <charset val="163"/>
      </rPr>
      <t>3 môn có điểm</t>
    </r>
    <r>
      <rPr>
        <b/>
        <i/>
        <sz val="12"/>
        <rFont val="Times New Roman"/>
        <family val="1"/>
        <charset val="163"/>
      </rPr>
      <t>&gt;= 5</t>
    </r>
    <r>
      <rPr>
        <sz val="12"/>
        <rFont val="Times New Roman"/>
        <family val="1"/>
        <charset val="163"/>
      </rPr>
      <t xml:space="preserve"> thì ghi "</t>
    </r>
    <r>
      <rPr>
        <b/>
        <sz val="12"/>
        <color indexed="16"/>
        <rFont val="Times New Roman"/>
        <family val="1"/>
        <charset val="163"/>
      </rPr>
      <t>Đạt</t>
    </r>
    <r>
      <rPr>
        <sz val="12"/>
        <rFont val="Times New Roman"/>
        <family val="1"/>
        <charset val="163"/>
      </rPr>
      <t>"</t>
    </r>
  </si>
  <si>
    <r>
      <t xml:space="preserve"> - Học sinh nào có </t>
    </r>
    <r>
      <rPr>
        <i/>
        <sz val="12"/>
        <rFont val="Times New Roman"/>
        <family val="1"/>
        <charset val="163"/>
      </rPr>
      <t>2 môn thi điểm</t>
    </r>
    <r>
      <rPr>
        <b/>
        <i/>
        <sz val="12"/>
        <rFont val="Times New Roman"/>
        <family val="1"/>
        <charset val="163"/>
      </rPr>
      <t>&gt;= 5</t>
    </r>
    <r>
      <rPr>
        <sz val="12"/>
        <rFont val="Times New Roman"/>
        <family val="1"/>
        <charset val="163"/>
      </rPr>
      <t xml:space="preserve"> thì ghi "</t>
    </r>
    <r>
      <rPr>
        <b/>
        <sz val="12"/>
        <color indexed="12"/>
        <rFont val="Times New Roman"/>
        <family val="1"/>
        <charset val="163"/>
      </rPr>
      <t>Thi Lại</t>
    </r>
    <r>
      <rPr>
        <sz val="12"/>
        <rFont val="Times New Roman"/>
        <family val="1"/>
        <charset val="163"/>
      </rPr>
      <t>"</t>
    </r>
  </si>
  <si>
    <r>
      <t xml:space="preserve"> - Các trường hợp còn lại thì ghi "</t>
    </r>
    <r>
      <rPr>
        <b/>
        <sz val="12"/>
        <color indexed="10"/>
        <rFont val="Times New Roman"/>
        <family val="1"/>
        <charset val="163"/>
      </rPr>
      <t>Hỏng</t>
    </r>
    <r>
      <rPr>
        <sz val="12"/>
        <rFont val="Times New Roman"/>
        <family val="1"/>
        <charset val="163"/>
      </rPr>
      <t>"</t>
    </r>
  </si>
  <si>
    <r>
      <t xml:space="preserve">Hãy tạo giá trị cho cột </t>
    </r>
    <r>
      <rPr>
        <b/>
        <sz val="12"/>
        <color indexed="12"/>
        <rFont val="Times New Roman"/>
        <family val="1"/>
        <charset val="163"/>
      </rPr>
      <t xml:space="preserve">Thi Lại </t>
    </r>
    <r>
      <rPr>
        <sz val="12"/>
        <rFont val="Times New Roman"/>
        <family val="1"/>
        <charset val="163"/>
      </rPr>
      <t>biết rằng:</t>
    </r>
  </si>
  <si>
    <r>
      <t xml:space="preserve"> - Học sinh nào bị </t>
    </r>
    <r>
      <rPr>
        <b/>
        <sz val="12"/>
        <color indexed="12"/>
        <rFont val="Times New Roman"/>
        <family val="1"/>
        <charset val="163"/>
      </rPr>
      <t xml:space="preserve">Thi Lại </t>
    </r>
    <r>
      <rPr>
        <sz val="12"/>
        <rFont val="Times New Roman"/>
        <family val="1"/>
        <charset val="163"/>
      </rPr>
      <t xml:space="preserve">thì ghi </t>
    </r>
    <r>
      <rPr>
        <b/>
        <i/>
        <sz val="12"/>
        <color indexed="10"/>
        <rFont val="Times New Roman"/>
        <family val="1"/>
        <charset val="163"/>
      </rPr>
      <t xml:space="preserve">tên môn thi lại </t>
    </r>
    <r>
      <rPr>
        <sz val="12"/>
        <rFont val="Times New Roman"/>
        <family val="1"/>
        <charset val="163"/>
      </rPr>
      <t>đó (</t>
    </r>
    <r>
      <rPr>
        <i/>
        <sz val="12"/>
        <rFont val="Times New Roman"/>
        <family val="1"/>
        <charset val="163"/>
      </rPr>
      <t>Tức là tên môn thi có điểm &lt;5</t>
    </r>
    <r>
      <rPr>
        <sz val="12"/>
        <rFont val="Times New Roman"/>
        <family val="1"/>
        <charset val="163"/>
      </rPr>
      <t>)</t>
    </r>
  </si>
  <si>
    <r>
      <t xml:space="preserve">Hãy tạo giá trị cho cột </t>
    </r>
    <r>
      <rPr>
        <b/>
        <sz val="12"/>
        <color indexed="10"/>
        <rFont val="Times New Roman"/>
        <family val="1"/>
        <charset val="163"/>
      </rPr>
      <t>Học Bổng</t>
    </r>
    <r>
      <rPr>
        <sz val="12"/>
        <rFont val="Times New Roman"/>
        <family val="1"/>
        <charset val="163"/>
      </rPr>
      <t>, biết rằng:</t>
    </r>
  </si>
  <si>
    <r>
      <t xml:space="preserve">- Học sinh nào thi kiểm tra với </t>
    </r>
    <r>
      <rPr>
        <b/>
        <sz val="12"/>
        <rFont val="Times New Roman"/>
        <family val="1"/>
        <charset val="163"/>
      </rPr>
      <t>Kết Quả</t>
    </r>
    <r>
      <rPr>
        <sz val="12"/>
        <rFont val="Times New Roman"/>
        <family val="1"/>
        <charset val="163"/>
      </rPr>
      <t xml:space="preserve"> "</t>
    </r>
    <r>
      <rPr>
        <b/>
        <sz val="12"/>
        <color indexed="12"/>
        <rFont val="Times New Roman"/>
        <family val="1"/>
        <charset val="163"/>
      </rPr>
      <t>Đạt</t>
    </r>
    <r>
      <rPr>
        <sz val="12"/>
        <rFont val="Times New Roman"/>
        <family val="1"/>
        <charset val="163"/>
      </rPr>
      <t xml:space="preserve">" và có </t>
    </r>
    <r>
      <rPr>
        <b/>
        <sz val="12"/>
        <color indexed="53"/>
        <rFont val="Times New Roman"/>
        <family val="1"/>
        <charset val="163"/>
      </rPr>
      <t xml:space="preserve">Tổng Điểm </t>
    </r>
    <r>
      <rPr>
        <b/>
        <sz val="12"/>
        <rFont val="Times New Roman"/>
        <family val="1"/>
        <charset val="163"/>
      </rPr>
      <t xml:space="preserve">cao nhất </t>
    </r>
    <r>
      <rPr>
        <sz val="12"/>
        <rFont val="Times New Roman"/>
        <family val="1"/>
        <charset val="163"/>
      </rPr>
      <t>thì được nhận : 100000</t>
    </r>
  </si>
  <si>
    <t>- Các trường hợp còn lại thì không nhận học bổng.</t>
  </si>
  <si>
    <r>
      <t xml:space="preserve">Định dạng cột </t>
    </r>
    <r>
      <rPr>
        <b/>
        <sz val="12"/>
        <rFont val="Times New Roman"/>
        <family val="1"/>
        <charset val="163"/>
      </rPr>
      <t>Học Bổng</t>
    </r>
    <r>
      <rPr>
        <sz val="12"/>
        <rFont val="Times New Roman"/>
        <family val="1"/>
        <charset val="163"/>
      </rPr>
      <t xml:space="preserve"> sao cho xuất hiện ký hiệu phân cách hàng ngàn và có ký hiệu tiền tệ là "</t>
    </r>
    <r>
      <rPr>
        <b/>
        <sz val="12"/>
        <color indexed="10"/>
        <rFont val="Times New Roman"/>
        <family val="1"/>
        <charset val="163"/>
      </rPr>
      <t>Đồng</t>
    </r>
    <r>
      <rPr>
        <sz val="12"/>
        <rFont val="Times New Roman"/>
        <family val="1"/>
        <charset val="163"/>
      </rPr>
      <t>"</t>
    </r>
  </si>
  <si>
    <t>BẢNG LƯƠNG THÁNG 01-2003</t>
  </si>
  <si>
    <t>Số
Thứ Tự</t>
  </si>
  <si>
    <t>Mã
Nhân Viên</t>
  </si>
  <si>
    <t>Họ Tên
Nhân Viên</t>
  </si>
  <si>
    <t>Phòng
Ban</t>
  </si>
  <si>
    <t>Chức
 Vụ</t>
  </si>
  <si>
    <t>Phụ Cấp
Chức Vụ</t>
  </si>
  <si>
    <t>Lương
Cơ Bản</t>
  </si>
  <si>
    <t>Thực 
Lãnh</t>
  </si>
  <si>
    <t>Nguyên</t>
  </si>
  <si>
    <t>My</t>
  </si>
  <si>
    <r>
      <t xml:space="preserve">Sử dụng công thức hãy điền giá trị cho cột </t>
    </r>
    <r>
      <rPr>
        <b/>
        <sz val="12"/>
        <color indexed="10"/>
        <rFont val="Times New Roman"/>
        <family val="1"/>
      </rPr>
      <t>Số Thứ Tự</t>
    </r>
  </si>
  <si>
    <r>
      <t xml:space="preserve">Căn cứ vào ký tự đầu tiên bên trái của </t>
    </r>
    <r>
      <rPr>
        <b/>
        <sz val="12"/>
        <color indexed="20"/>
        <rFont val="Times New Roman"/>
        <family val="1"/>
      </rPr>
      <t xml:space="preserve">Mã Nhân Viên </t>
    </r>
    <r>
      <rPr>
        <sz val="12"/>
        <rFont val="Times New Roman"/>
        <family val="1"/>
      </rPr>
      <t xml:space="preserve">và </t>
    </r>
    <r>
      <rPr>
        <b/>
        <sz val="12"/>
        <color indexed="60"/>
        <rFont val="Times New Roman"/>
        <family val="1"/>
      </rPr>
      <t>BẢNG TRA PHÒNG BAN</t>
    </r>
    <r>
      <rPr>
        <sz val="12"/>
        <rFont val="Times New Roman"/>
        <family val="1"/>
      </rPr>
      <t xml:space="preserve">, </t>
    </r>
  </si>
  <si>
    <t>A03</t>
  </si>
  <si>
    <r>
      <t xml:space="preserve">hãy điền tên phòng ban cho các nhân viên ở cột </t>
    </r>
    <r>
      <rPr>
        <b/>
        <sz val="12"/>
        <color indexed="58"/>
        <rFont val="Times New Roman"/>
        <family val="1"/>
      </rPr>
      <t>Phòng</t>
    </r>
    <r>
      <rPr>
        <sz val="12"/>
        <rFont val="Times New Roman"/>
        <family val="1"/>
      </rPr>
      <t>.</t>
    </r>
  </si>
  <si>
    <t>Hạnh</t>
  </si>
  <si>
    <t>PP</t>
  </si>
  <si>
    <r>
      <t xml:space="preserve">Căn cứ vào số liệu ở cột </t>
    </r>
    <r>
      <rPr>
        <b/>
        <sz val="12"/>
        <color indexed="20"/>
        <rFont val="Times New Roman"/>
        <family val="1"/>
      </rPr>
      <t xml:space="preserve">Chức Vụ </t>
    </r>
    <r>
      <rPr>
        <sz val="12"/>
        <rFont val="Times New Roman"/>
        <family val="1"/>
      </rPr>
      <t xml:space="preserve">và </t>
    </r>
    <r>
      <rPr>
        <b/>
        <sz val="12"/>
        <color indexed="18"/>
        <rFont val="Times New Roman"/>
        <family val="1"/>
      </rPr>
      <t>BẢNG TRA PHỤ CẤP</t>
    </r>
    <r>
      <rPr>
        <sz val="12"/>
        <rFont val="Times New Roman"/>
        <family val="1"/>
      </rPr>
      <t xml:space="preserve">, hãy tính tiền </t>
    </r>
    <r>
      <rPr>
        <b/>
        <sz val="12"/>
        <color indexed="10"/>
        <rFont val="Times New Roman"/>
        <family val="1"/>
      </rPr>
      <t xml:space="preserve">Phụ Cấp Chức Vụ </t>
    </r>
    <r>
      <rPr>
        <sz val="12"/>
        <rFont val="Times New Roman"/>
        <family val="1"/>
      </rPr>
      <t>cho mỗi nhân viên</t>
    </r>
  </si>
  <si>
    <t>C01</t>
  </si>
  <si>
    <t>Chi</t>
  </si>
  <si>
    <r>
      <t xml:space="preserve">Tính </t>
    </r>
    <r>
      <rPr>
        <b/>
        <sz val="12"/>
        <color indexed="58"/>
        <rFont val="Times New Roman"/>
        <family val="1"/>
      </rPr>
      <t xml:space="preserve">Thực Lãnh </t>
    </r>
    <r>
      <rPr>
        <sz val="12"/>
        <rFont val="Times New Roman"/>
        <family val="1"/>
      </rPr>
      <t xml:space="preserve">cho mỗi nhân viên biết rằng </t>
    </r>
    <r>
      <rPr>
        <b/>
        <sz val="12"/>
        <color indexed="20"/>
        <rFont val="Times New Roman"/>
        <family val="1"/>
      </rPr>
      <t>Thực Lãnh = Phụ Cấp Chức Vụ + Lương</t>
    </r>
  </si>
  <si>
    <t>B03</t>
  </si>
  <si>
    <t>Hiền</t>
  </si>
  <si>
    <r>
      <t xml:space="preserve">Tính </t>
    </r>
    <r>
      <rPr>
        <b/>
        <sz val="12"/>
        <color indexed="61"/>
        <rFont val="Times New Roman"/>
        <family val="1"/>
      </rPr>
      <t>Tổng Cộng c</t>
    </r>
    <r>
      <rPr>
        <sz val="12"/>
        <rFont val="Times New Roman"/>
        <family val="1"/>
      </rPr>
      <t xml:space="preserve">ho cộtt </t>
    </r>
    <r>
      <rPr>
        <b/>
        <sz val="12"/>
        <color indexed="10"/>
        <rFont val="Times New Roman"/>
        <family val="1"/>
      </rPr>
      <t>Thực Lãnh</t>
    </r>
  </si>
  <si>
    <t>A04</t>
  </si>
  <si>
    <t>Thao tác định dạng và kẻ khung cho bảng tính</t>
  </si>
  <si>
    <t>B06</t>
  </si>
  <si>
    <t>BẢNG TRA PHỤ CẤP</t>
  </si>
  <si>
    <t>BẢNG TRA PHÒNG BAN</t>
  </si>
  <si>
    <t>Mã Phòng Ban</t>
  </si>
  <si>
    <t>Tên Phòng Ban</t>
  </si>
  <si>
    <t>Kế Hoạch</t>
  </si>
  <si>
    <t>Hành Chính</t>
  </si>
  <si>
    <t>Kế Toán</t>
  </si>
  <si>
    <t>Khách
Hàng</t>
  </si>
  <si>
    <t>Quốc
Tịch</t>
  </si>
  <si>
    <t>Ngày
Đến</t>
  </si>
  <si>
    <t>Ngày
Đi</t>
  </si>
  <si>
    <t>Số
Ngày Ở</t>
  </si>
  <si>
    <t>Loại
Phòng</t>
  </si>
  <si>
    <t>Đơn
Giá</t>
  </si>
  <si>
    <t>Tiền 
Giảm</t>
  </si>
  <si>
    <t>Ngọc</t>
  </si>
  <si>
    <t>VN</t>
  </si>
  <si>
    <t>Jean</t>
  </si>
  <si>
    <t>ANH</t>
  </si>
  <si>
    <t>Rooney</t>
  </si>
  <si>
    <t>Madona</t>
  </si>
  <si>
    <t>Jovani</t>
  </si>
  <si>
    <t>YÏ</t>
  </si>
  <si>
    <t>Daniela</t>
  </si>
  <si>
    <t>Hà Lan</t>
  </si>
  <si>
    <t>Bacbara</t>
  </si>
  <si>
    <t>Hải</t>
  </si>
  <si>
    <r>
      <t xml:space="preserve">Hãy tính </t>
    </r>
    <r>
      <rPr>
        <b/>
        <sz val="12"/>
        <color indexed="18"/>
        <rFont val="Times New Roman"/>
        <family val="1"/>
      </rPr>
      <t>Số Ngày Ở</t>
    </r>
    <r>
      <rPr>
        <sz val="12"/>
        <rFont val="Times New Roman"/>
        <family val="1"/>
      </rPr>
      <t xml:space="preserve"> cho mỗi khách du lịch biết rằng </t>
    </r>
    <r>
      <rPr>
        <b/>
        <sz val="12"/>
        <color indexed="18"/>
        <rFont val="Times New Roman"/>
        <family val="1"/>
      </rPr>
      <t>Số Ngày Ở</t>
    </r>
    <r>
      <rPr>
        <sz val="12"/>
        <rFont val="Times New Roman"/>
        <family val="1"/>
      </rPr>
      <t xml:space="preserve">  =  </t>
    </r>
    <r>
      <rPr>
        <b/>
        <sz val="12"/>
        <color indexed="16"/>
        <rFont val="Times New Roman"/>
        <family val="1"/>
      </rPr>
      <t>Ngày Đi</t>
    </r>
    <r>
      <rPr>
        <sz val="12"/>
        <rFont val="Times New Roman"/>
        <family val="1"/>
      </rPr>
      <t xml:space="preserve"> - </t>
    </r>
    <r>
      <rPr>
        <b/>
        <sz val="12"/>
        <color indexed="48"/>
        <rFont val="Times New Roman"/>
        <family val="1"/>
      </rPr>
      <t>Ngày Đến</t>
    </r>
  </si>
  <si>
    <r>
      <t xml:space="preserve">Tính </t>
    </r>
    <r>
      <rPr>
        <b/>
        <sz val="12"/>
        <color indexed="48"/>
        <rFont val="Times New Roman"/>
        <family val="1"/>
      </rPr>
      <t>Đơn Giá</t>
    </r>
    <r>
      <rPr>
        <sz val="12"/>
        <rFont val="Times New Roman"/>
        <family val="1"/>
      </rPr>
      <t xml:space="preserve"> cho mỗi </t>
    </r>
    <r>
      <rPr>
        <b/>
        <sz val="12"/>
        <color indexed="21"/>
        <rFont val="Times New Roman"/>
        <family val="1"/>
      </rPr>
      <t>Loại Phòng</t>
    </r>
    <r>
      <rPr>
        <sz val="12"/>
        <rFont val="Times New Roman"/>
        <family val="1"/>
      </rPr>
      <t xml:space="preserve">, biết rằng: </t>
    </r>
  </si>
  <si>
    <r>
      <t xml:space="preserve">  - </t>
    </r>
    <r>
      <rPr>
        <b/>
        <sz val="12"/>
        <color indexed="21"/>
        <rFont val="Times New Roman"/>
        <family val="1"/>
      </rPr>
      <t>Loại Phòng</t>
    </r>
    <r>
      <rPr>
        <sz val="12"/>
        <rFont val="Times New Roman"/>
        <family val="1"/>
      </rPr>
      <t xml:space="preserve"> là </t>
    </r>
    <r>
      <rPr>
        <b/>
        <sz val="12"/>
        <color indexed="10"/>
        <rFont val="Times New Roman"/>
        <family val="1"/>
      </rPr>
      <t>A</t>
    </r>
    <r>
      <rPr>
        <sz val="12"/>
        <rFont val="Times New Roman"/>
        <family val="1"/>
      </rPr>
      <t xml:space="preserve"> thì </t>
    </r>
    <r>
      <rPr>
        <b/>
        <sz val="12"/>
        <color indexed="53"/>
        <rFont val="Times New Roman"/>
        <family val="1"/>
      </rPr>
      <t>Đơn Giá</t>
    </r>
    <r>
      <rPr>
        <sz val="12"/>
        <rFont val="Times New Roman"/>
        <family val="1"/>
      </rPr>
      <t xml:space="preserve"> là </t>
    </r>
    <r>
      <rPr>
        <b/>
        <sz val="12"/>
        <color indexed="56"/>
        <rFont val="Times New Roman"/>
        <family val="1"/>
      </rPr>
      <t>50000</t>
    </r>
  </si>
  <si>
    <r>
      <t xml:space="preserve">  - </t>
    </r>
    <r>
      <rPr>
        <b/>
        <sz val="12"/>
        <color indexed="21"/>
        <rFont val="Times New Roman"/>
        <family val="1"/>
      </rPr>
      <t>Loại Phòng</t>
    </r>
    <r>
      <rPr>
        <sz val="12"/>
        <rFont val="Times New Roman"/>
        <family val="1"/>
      </rPr>
      <t xml:space="preserve"> là </t>
    </r>
    <r>
      <rPr>
        <b/>
        <sz val="12"/>
        <color indexed="10"/>
        <rFont val="Times New Roman"/>
        <family val="1"/>
      </rPr>
      <t>B</t>
    </r>
    <r>
      <rPr>
        <sz val="12"/>
        <rFont val="Times New Roman"/>
        <family val="1"/>
      </rPr>
      <t xml:space="preserve"> thì </t>
    </r>
    <r>
      <rPr>
        <b/>
        <sz val="12"/>
        <color indexed="53"/>
        <rFont val="Times New Roman"/>
        <family val="1"/>
      </rPr>
      <t>Đơn Giá</t>
    </r>
    <r>
      <rPr>
        <sz val="12"/>
        <rFont val="Times New Roman"/>
        <family val="1"/>
      </rPr>
      <t xml:space="preserve"> là </t>
    </r>
    <r>
      <rPr>
        <b/>
        <sz val="12"/>
        <color indexed="56"/>
        <rFont val="Times New Roman"/>
        <family val="1"/>
      </rPr>
      <t>30000</t>
    </r>
  </si>
  <si>
    <r>
      <t xml:space="preserve">  - </t>
    </r>
    <r>
      <rPr>
        <b/>
        <sz val="12"/>
        <color indexed="21"/>
        <rFont val="Times New Roman"/>
        <family val="1"/>
      </rPr>
      <t>Loại Phòng</t>
    </r>
    <r>
      <rPr>
        <sz val="12"/>
        <rFont val="Times New Roman"/>
        <family val="1"/>
      </rPr>
      <t xml:space="preserve"> là </t>
    </r>
    <r>
      <rPr>
        <b/>
        <sz val="12"/>
        <color indexed="10"/>
        <rFont val="Times New Roman"/>
        <family val="1"/>
      </rPr>
      <t>C</t>
    </r>
    <r>
      <rPr>
        <sz val="12"/>
        <rFont val="Times New Roman"/>
        <family val="1"/>
      </rPr>
      <t xml:space="preserve"> thì </t>
    </r>
    <r>
      <rPr>
        <b/>
        <sz val="12"/>
        <color indexed="53"/>
        <rFont val="Times New Roman"/>
        <family val="1"/>
      </rPr>
      <t>Đơn Giá</t>
    </r>
    <r>
      <rPr>
        <sz val="12"/>
        <rFont val="Times New Roman"/>
        <family val="1"/>
      </rPr>
      <t xml:space="preserve"> là </t>
    </r>
    <r>
      <rPr>
        <b/>
        <sz val="12"/>
        <color indexed="56"/>
        <rFont val="Times New Roman"/>
        <family val="1"/>
      </rPr>
      <t>20000</t>
    </r>
  </si>
  <si>
    <r>
      <t xml:space="preserve">Tính </t>
    </r>
    <r>
      <rPr>
        <b/>
        <sz val="12"/>
        <color indexed="53"/>
        <rFont val="Times New Roman"/>
        <family val="1"/>
      </rPr>
      <t>Thành Tiền</t>
    </r>
    <r>
      <rPr>
        <sz val="12"/>
        <rFont val="Times New Roman"/>
        <family val="1"/>
      </rPr>
      <t xml:space="preserve"> biết rằng </t>
    </r>
    <r>
      <rPr>
        <b/>
        <sz val="12"/>
        <color indexed="53"/>
        <rFont val="Times New Roman"/>
        <family val="1"/>
      </rPr>
      <t>Thành Tiền</t>
    </r>
    <r>
      <rPr>
        <sz val="12"/>
        <rFont val="Times New Roman"/>
        <family val="1"/>
      </rPr>
      <t xml:space="preserve"> = </t>
    </r>
    <r>
      <rPr>
        <b/>
        <sz val="12"/>
        <color indexed="12"/>
        <rFont val="Times New Roman"/>
        <family val="1"/>
      </rPr>
      <t>Số Ngày Ở</t>
    </r>
    <r>
      <rPr>
        <sz val="12"/>
        <rFont val="Times New Roman"/>
        <family val="1"/>
      </rPr>
      <t xml:space="preserve"> * </t>
    </r>
    <r>
      <rPr>
        <b/>
        <sz val="12"/>
        <color indexed="48"/>
        <rFont val="Times New Roman"/>
        <family val="1"/>
      </rPr>
      <t>Đơn Giá</t>
    </r>
    <r>
      <rPr>
        <sz val="12"/>
        <rFont val="Times New Roman"/>
        <family val="1"/>
      </rPr>
      <t xml:space="preserve"> tiền phòng</t>
    </r>
  </si>
  <si>
    <r>
      <t xml:space="preserve">Tính </t>
    </r>
    <r>
      <rPr>
        <b/>
        <sz val="12"/>
        <color indexed="59"/>
        <rFont val="Times New Roman"/>
        <family val="1"/>
      </rPr>
      <t>Tiền Giảm</t>
    </r>
    <r>
      <rPr>
        <sz val="12"/>
        <rFont val="Times New Roman"/>
        <family val="1"/>
      </rPr>
      <t xml:space="preserve"> cho mỗi du khaïch biết rằng :</t>
    </r>
  </si>
  <si>
    <r>
      <t xml:space="preserve">  - Nếu </t>
    </r>
    <r>
      <rPr>
        <b/>
        <sz val="12"/>
        <color indexed="10"/>
        <rFont val="Times New Roman"/>
        <family val="1"/>
      </rPr>
      <t xml:space="preserve">Ngày Đến </t>
    </r>
    <r>
      <rPr>
        <sz val="12"/>
        <rFont val="Times New Roman"/>
        <family val="1"/>
      </rPr>
      <t xml:space="preserve">là </t>
    </r>
    <r>
      <rPr>
        <b/>
        <sz val="12"/>
        <color indexed="12"/>
        <rFont val="Times New Roman"/>
        <family val="1"/>
      </rPr>
      <t>Chủ Nhật</t>
    </r>
    <r>
      <rPr>
        <sz val="12"/>
        <rFont val="Times New Roman"/>
        <family val="1"/>
      </rPr>
      <t xml:space="preserve"> và </t>
    </r>
    <r>
      <rPr>
        <b/>
        <sz val="12"/>
        <color indexed="10"/>
        <rFont val="Times New Roman"/>
        <family val="1"/>
      </rPr>
      <t>Số Ngày Ở &gt;=30</t>
    </r>
    <r>
      <rPr>
        <sz val="12"/>
        <rFont val="Times New Roman"/>
        <family val="1"/>
      </rPr>
      <t xml:space="preserve"> thì được giảm </t>
    </r>
    <r>
      <rPr>
        <b/>
        <sz val="12"/>
        <color indexed="10"/>
        <rFont val="Times New Roman"/>
        <family val="1"/>
      </rPr>
      <t xml:space="preserve">10% </t>
    </r>
    <r>
      <rPr>
        <b/>
        <sz val="12"/>
        <color indexed="58"/>
        <rFont val="Times New Roman"/>
        <family val="1"/>
      </rPr>
      <t>Tiền Phòng</t>
    </r>
  </si>
  <si>
    <r>
      <t xml:space="preserve">  - Nếu </t>
    </r>
    <r>
      <rPr>
        <b/>
        <sz val="12"/>
        <color indexed="10"/>
        <rFont val="Times New Roman"/>
        <family val="1"/>
      </rPr>
      <t>Số Ngày Ở &gt;=25</t>
    </r>
    <r>
      <rPr>
        <sz val="12"/>
        <rFont val="Times New Roman"/>
        <family val="1"/>
      </rPr>
      <t xml:space="preserve"> thì được giảm </t>
    </r>
    <r>
      <rPr>
        <b/>
        <sz val="12"/>
        <color indexed="10"/>
        <rFont val="Times New Roman"/>
        <family val="1"/>
      </rPr>
      <t xml:space="preserve">5% </t>
    </r>
    <r>
      <rPr>
        <b/>
        <sz val="12"/>
        <color indexed="58"/>
        <rFont val="Times New Roman"/>
        <family val="1"/>
      </rPr>
      <t>Tiền Phòng</t>
    </r>
  </si>
  <si>
    <t xml:space="preserve">  - Các trường hợp khác thì không giảm</t>
  </si>
  <si>
    <r>
      <t xml:space="preserve">Tính số tiền </t>
    </r>
    <r>
      <rPr>
        <b/>
        <sz val="12"/>
        <color indexed="56"/>
        <rFont val="Times New Roman"/>
        <family val="1"/>
      </rPr>
      <t>Phải Trả</t>
    </r>
    <r>
      <rPr>
        <sz val="12"/>
        <rFont val="Times New Roman"/>
        <family val="1"/>
      </rPr>
      <t xml:space="preserve">  = </t>
    </r>
    <r>
      <rPr>
        <b/>
        <sz val="12"/>
        <color indexed="20"/>
        <rFont val="Times New Roman"/>
        <family val="1"/>
      </rPr>
      <t>Thành Tiền</t>
    </r>
    <r>
      <rPr>
        <sz val="12"/>
        <rFont val="Times New Roman"/>
        <family val="1"/>
      </rPr>
      <t xml:space="preserve"> - </t>
    </r>
    <r>
      <rPr>
        <b/>
        <sz val="12"/>
        <color indexed="12"/>
        <rFont val="Times New Roman"/>
        <family val="1"/>
      </rPr>
      <t>Tiền Giảm</t>
    </r>
  </si>
  <si>
    <r>
      <t>Hoàn thành các thông tin sau (</t>
    </r>
    <r>
      <rPr>
        <i/>
        <sz val="12"/>
        <color indexed="18"/>
        <rFont val="Times New Roman"/>
        <family val="1"/>
      </rPr>
      <t>Thay các dấu ? bằng các công thức tính toán</t>
    </r>
    <r>
      <rPr>
        <sz val="12"/>
        <rFont val="Times New Roman"/>
        <family val="1"/>
      </rPr>
      <t>)</t>
    </r>
  </si>
  <si>
    <t>Kết Quả 
Tham Khảo</t>
  </si>
  <si>
    <r>
      <t xml:space="preserve">a. Số khách du lịch có quốc tịch </t>
    </r>
    <r>
      <rPr>
        <b/>
        <sz val="12"/>
        <color indexed="53"/>
        <rFont val="Times New Roman"/>
        <family val="1"/>
      </rPr>
      <t>Việt Nam</t>
    </r>
    <r>
      <rPr>
        <sz val="12"/>
        <rFont val="Times New Roman"/>
        <family val="1"/>
      </rPr>
      <t xml:space="preserve"> ?</t>
    </r>
  </si>
  <si>
    <r>
      <t xml:space="preserve">b. Tỷ lệ % giữa khách du lịch </t>
    </r>
    <r>
      <rPr>
        <b/>
        <sz val="12"/>
        <color indexed="53"/>
        <rFont val="Times New Roman"/>
        <family val="1"/>
      </rPr>
      <t>Việt Nam</t>
    </r>
    <r>
      <rPr>
        <sz val="12"/>
        <rFont val="Times New Roman"/>
        <family val="1"/>
      </rPr>
      <t xml:space="preserve"> và </t>
    </r>
    <r>
      <rPr>
        <b/>
        <sz val="12"/>
        <color indexed="53"/>
        <rFont val="Times New Roman"/>
        <family val="1"/>
      </rPr>
      <t>Nước Ngoài</t>
    </r>
    <r>
      <rPr>
        <sz val="12"/>
        <rFont val="Times New Roman"/>
        <family val="1"/>
      </rPr>
      <t xml:space="preserve"> ?</t>
    </r>
  </si>
  <si>
    <r>
      <t xml:space="preserve">c. Tổng </t>
    </r>
    <r>
      <rPr>
        <b/>
        <sz val="12"/>
        <color indexed="48"/>
        <rFont val="Times New Roman"/>
        <family val="1"/>
      </rPr>
      <t>Số Ngày Ở</t>
    </r>
    <r>
      <rPr>
        <sz val="12"/>
        <rFont val="Times New Roman"/>
        <family val="1"/>
      </rPr>
      <t xml:space="preserve"> của khách nước ngoài ?</t>
    </r>
  </si>
  <si>
    <r>
      <t xml:space="preserve">d. Có bao nhiêu khách có tên bắt đầu là chữ </t>
    </r>
    <r>
      <rPr>
        <b/>
        <sz val="12"/>
        <color indexed="60"/>
        <rFont val="Times New Roman"/>
        <family val="1"/>
      </rPr>
      <t xml:space="preserve">H </t>
    </r>
    <r>
      <rPr>
        <sz val="12"/>
        <rFont val="Times New Roman"/>
        <family val="1"/>
      </rPr>
      <t xml:space="preserve">? </t>
    </r>
  </si>
  <si>
    <r>
      <t xml:space="preserve">e. Có bao nhiêu khách có bao nhiêu khách có </t>
    </r>
    <r>
      <rPr>
        <b/>
        <sz val="12"/>
        <color indexed="12"/>
        <rFont val="Times New Roman"/>
        <family val="1"/>
      </rPr>
      <t>Số Ngày Ở &lt;= 10</t>
    </r>
    <r>
      <rPr>
        <sz val="12"/>
        <rFont val="Times New Roman"/>
        <family val="1"/>
      </rPr>
      <t xml:space="preserve"> ?</t>
    </r>
  </si>
  <si>
    <r>
      <t xml:space="preserve">f. Số phòng loại </t>
    </r>
    <r>
      <rPr>
        <b/>
        <sz val="12"/>
        <color indexed="10"/>
        <rFont val="Times New Roman"/>
        <family val="1"/>
      </rPr>
      <t>C</t>
    </r>
    <r>
      <rPr>
        <b/>
        <sz val="12"/>
        <color indexed="53"/>
        <rFont val="Times New Roman"/>
        <family val="1"/>
      </rPr>
      <t xml:space="preserve"> </t>
    </r>
    <r>
      <rPr>
        <sz val="12"/>
        <rFont val="Times New Roman"/>
        <family val="1"/>
      </rPr>
      <t>đã sử dụng là bao nhiêu?</t>
    </r>
  </si>
  <si>
    <r>
      <t xml:space="preserve">g. Tỷ lệ % số tiền </t>
    </r>
    <r>
      <rPr>
        <b/>
        <sz val="12"/>
        <color indexed="16"/>
        <rFont val="Times New Roman"/>
        <family val="1"/>
      </rPr>
      <t>Phải Trả</t>
    </r>
    <r>
      <rPr>
        <sz val="12"/>
        <rFont val="Times New Roman"/>
        <family val="1"/>
      </rPr>
      <t xml:space="preserve"> của khách </t>
    </r>
    <r>
      <rPr>
        <b/>
        <sz val="12"/>
        <color indexed="48"/>
        <rFont val="Times New Roman"/>
        <family val="1"/>
      </rPr>
      <t>VN</t>
    </r>
    <r>
      <rPr>
        <sz val="12"/>
        <rFont val="Times New Roman"/>
        <family val="1"/>
      </rPr>
      <t xml:space="preserve"> so với khách </t>
    </r>
    <r>
      <rPr>
        <b/>
        <sz val="12"/>
        <color indexed="48"/>
        <rFont val="Times New Roman"/>
        <family val="1"/>
      </rPr>
      <t>Nước Ngoài</t>
    </r>
    <r>
      <rPr>
        <sz val="12"/>
        <rFont val="Times New Roman"/>
        <family val="1"/>
      </rPr>
      <t xml:space="preserve"> là bao nhiêu ?</t>
    </r>
  </si>
  <si>
    <r>
      <t xml:space="preserve">Hoàn thành </t>
    </r>
    <r>
      <rPr>
        <b/>
        <sz val="12"/>
        <color indexed="10"/>
        <rFont val="Times New Roman"/>
        <family val="1"/>
      </rPr>
      <t>Bảng Thống Kê</t>
    </r>
    <r>
      <rPr>
        <sz val="12"/>
        <rFont val="Times New Roman"/>
        <family val="1"/>
      </rPr>
      <t xml:space="preserve"> sau:</t>
    </r>
  </si>
  <si>
    <t>Loại Phòng</t>
  </si>
  <si>
    <t>Tổng Số
Ngày Ở</t>
  </si>
  <si>
    <t>Tổng
Thành Tiền</t>
  </si>
  <si>
    <t>Tổng Số
Tiền Giảm</t>
  </si>
  <si>
    <t>Tổng Số Tiền 
Phải Trả</t>
  </si>
  <si>
    <t>Loại Xe</t>
  </si>
  <si>
    <t>Đơn Giá Thuê</t>
  </si>
  <si>
    <t>Long</t>
  </si>
  <si>
    <t>Máy xúc</t>
  </si>
  <si>
    <t>Nâng hàng</t>
  </si>
  <si>
    <t>Tải nhẹ 2.5 T</t>
  </si>
  <si>
    <t>Tải nặng 5 T</t>
  </si>
  <si>
    <t>BẢNG TRA GIÁ THUÊ XE</t>
  </si>
  <si>
    <r>
      <t>Giá Thuê Ngày
(</t>
    </r>
    <r>
      <rPr>
        <b/>
        <sz val="12"/>
        <color indexed="10"/>
        <rFont val="Times New Roman"/>
        <family val="1"/>
      </rPr>
      <t>Ngàn</t>
    </r>
    <r>
      <rPr>
        <b/>
        <sz val="12"/>
        <color indexed="12"/>
        <rFont val="Times New Roman"/>
        <family val="1"/>
      </rPr>
      <t>)</t>
    </r>
  </si>
  <si>
    <r>
      <t xml:space="preserve">Tính </t>
    </r>
    <r>
      <rPr>
        <b/>
        <sz val="12"/>
        <color indexed="58"/>
        <rFont val="Times New Roman"/>
        <family val="1"/>
      </rPr>
      <t>Số Ngày Thuê</t>
    </r>
    <r>
      <rPr>
        <sz val="12"/>
        <rFont val="Times New Roman"/>
        <family val="1"/>
      </rPr>
      <t xml:space="preserve"> = </t>
    </r>
    <r>
      <rPr>
        <b/>
        <sz val="12"/>
        <color indexed="10"/>
        <rFont val="Times New Roman"/>
        <family val="1"/>
      </rPr>
      <t>Ngày Trả</t>
    </r>
    <r>
      <rPr>
        <sz val="12"/>
        <rFont val="Times New Roman"/>
        <family val="1"/>
      </rPr>
      <t xml:space="preserve"> - </t>
    </r>
    <r>
      <rPr>
        <b/>
        <sz val="12"/>
        <color indexed="12"/>
        <rFont val="Times New Roman"/>
        <family val="1"/>
      </rPr>
      <t>Ngày Thuê</t>
    </r>
  </si>
  <si>
    <r>
      <t xml:space="preserve">Dựa vào </t>
    </r>
    <r>
      <rPr>
        <b/>
        <sz val="12"/>
        <color indexed="20"/>
        <rFont val="Times New Roman"/>
        <family val="1"/>
      </rPr>
      <t>Loại Xe</t>
    </r>
    <r>
      <rPr>
        <sz val="12"/>
        <rFont val="Times New Roman"/>
        <family val="1"/>
      </rPr>
      <t xml:space="preserve"> ở </t>
    </r>
    <r>
      <rPr>
        <b/>
        <sz val="12"/>
        <color indexed="18"/>
        <rFont val="Times New Roman"/>
        <family val="1"/>
      </rPr>
      <t>Bảng 1</t>
    </r>
    <r>
      <rPr>
        <sz val="12"/>
        <rFont val="Times New Roman"/>
        <family val="1"/>
      </rPr>
      <t xml:space="preserve"> và tra ở </t>
    </r>
    <r>
      <rPr>
        <b/>
        <sz val="12"/>
        <color indexed="18"/>
        <rFont val="Times New Roman"/>
        <family val="1"/>
      </rPr>
      <t>Bảng 2</t>
    </r>
    <r>
      <rPr>
        <sz val="12"/>
        <rFont val="Times New Roman"/>
        <family val="1"/>
      </rPr>
      <t xml:space="preserve">, hãy điền </t>
    </r>
    <r>
      <rPr>
        <b/>
        <sz val="12"/>
        <color indexed="10"/>
        <rFont val="Times New Roman"/>
        <family val="1"/>
      </rPr>
      <t>Đơn Giá Thuê</t>
    </r>
    <r>
      <rPr>
        <sz val="12"/>
        <rFont val="Times New Roman"/>
        <family val="1"/>
      </rPr>
      <t xml:space="preserve"> cho mỗi </t>
    </r>
    <r>
      <rPr>
        <b/>
        <sz val="12"/>
        <color indexed="20"/>
        <rFont val="Times New Roman"/>
        <family val="1"/>
      </rPr>
      <t>Loại Xe</t>
    </r>
    <r>
      <rPr>
        <sz val="12"/>
        <rFont val="Times New Roman"/>
        <family val="1"/>
      </rPr>
      <t>.</t>
    </r>
  </si>
  <si>
    <r>
      <t xml:space="preserve">Tính </t>
    </r>
    <r>
      <rPr>
        <b/>
        <sz val="12"/>
        <color indexed="18"/>
        <rFont val="Times New Roman"/>
        <family val="1"/>
      </rPr>
      <t>Phải Trả</t>
    </r>
    <r>
      <rPr>
        <sz val="12"/>
        <rFont val="Times New Roman"/>
        <family val="1"/>
      </rPr>
      <t xml:space="preserve"> = </t>
    </r>
    <r>
      <rPr>
        <b/>
        <sz val="12"/>
        <color indexed="20"/>
        <rFont val="Times New Roman"/>
        <family val="1"/>
      </rPr>
      <t>Số Ngày Thuê</t>
    </r>
    <r>
      <rPr>
        <sz val="12"/>
        <rFont val="Times New Roman"/>
        <family val="1"/>
      </rPr>
      <t xml:space="preserve"> * </t>
    </r>
    <r>
      <rPr>
        <b/>
        <sz val="12"/>
        <color indexed="12"/>
        <rFont val="Times New Roman"/>
        <family val="1"/>
      </rPr>
      <t>Đơn Giá Thuê</t>
    </r>
    <r>
      <rPr>
        <sz val="12"/>
        <rFont val="Times New Roman"/>
        <family val="1"/>
      </rPr>
      <t xml:space="preserve">, biết rằng: Trong số ngày từ </t>
    </r>
    <r>
      <rPr>
        <b/>
        <sz val="12"/>
        <color indexed="60"/>
        <rFont val="Times New Roman"/>
        <family val="1"/>
      </rPr>
      <t>Ngày Thuê</t>
    </r>
    <r>
      <rPr>
        <sz val="12"/>
        <rFont val="Times New Roman"/>
        <family val="1"/>
      </rPr>
      <t xml:space="preserve"> xe đến </t>
    </r>
    <r>
      <rPr>
        <b/>
        <sz val="12"/>
        <color indexed="18"/>
        <rFont val="Times New Roman"/>
        <family val="1"/>
      </rPr>
      <t>Ngày Trả</t>
    </r>
    <r>
      <rPr>
        <sz val="12"/>
        <rFont val="Times New Roman"/>
        <family val="1"/>
      </rPr>
      <t xml:space="preserve"> xe nếu có ngày </t>
    </r>
    <r>
      <rPr>
        <b/>
        <sz val="12"/>
        <color indexed="53"/>
        <rFont val="Times New Roman"/>
        <family val="1"/>
      </rPr>
      <t>Chủ Nhật</t>
    </r>
    <r>
      <rPr>
        <sz val="12"/>
        <rFont val="Times New Roman"/>
        <family val="1"/>
      </rPr>
      <t xml:space="preserve"> thì </t>
    </r>
  </si>
  <si>
    <r>
      <t>Đơn Giá Thuê</t>
    </r>
    <r>
      <rPr>
        <i/>
        <sz val="12"/>
        <rFont val="Times New Roman"/>
        <family val="1"/>
      </rPr>
      <t xml:space="preserve"> </t>
    </r>
    <r>
      <rPr>
        <sz val="12"/>
        <rFont val="Times New Roman"/>
        <family val="1"/>
      </rPr>
      <t>của ngày đó được tính</t>
    </r>
    <r>
      <rPr>
        <i/>
        <sz val="12"/>
        <rFont val="Times New Roman"/>
        <family val="1"/>
      </rPr>
      <t xml:space="preserve"> gấp đôi</t>
    </r>
  </si>
  <si>
    <r>
      <t xml:space="preserve">Tính </t>
    </r>
    <r>
      <rPr>
        <b/>
        <sz val="12"/>
        <color indexed="16"/>
        <rFont val="Times New Roman"/>
        <family val="1"/>
      </rPr>
      <t>Tổng Cộng</t>
    </r>
    <r>
      <rPr>
        <sz val="12"/>
        <rFont val="Times New Roman"/>
        <family val="1"/>
      </rPr>
      <t xml:space="preserve"> cho các cột </t>
    </r>
    <r>
      <rPr>
        <b/>
        <sz val="12"/>
        <color indexed="58"/>
        <rFont val="Times New Roman"/>
        <family val="1"/>
      </rPr>
      <t>Số Ngày Thuê</t>
    </r>
    <r>
      <rPr>
        <sz val="12"/>
        <rFont val="Times New Roman"/>
        <family val="1"/>
      </rPr>
      <t xml:space="preserve"> và </t>
    </r>
    <r>
      <rPr>
        <b/>
        <sz val="12"/>
        <color indexed="60"/>
        <rFont val="Times New Roman"/>
        <family val="1"/>
      </rPr>
      <t>Phải Trả</t>
    </r>
  </si>
  <si>
    <r>
      <t xml:space="preserve">Hoàn thành </t>
    </r>
    <r>
      <rPr>
        <b/>
        <sz val="12"/>
        <color indexed="56"/>
        <rFont val="Times New Roman"/>
        <family val="1"/>
      </rPr>
      <t>Bảng Tổng Hợp</t>
    </r>
    <r>
      <rPr>
        <sz val="12"/>
        <rFont val="Times New Roman"/>
        <family val="1"/>
      </rPr>
      <t xml:space="preserve"> sau:</t>
    </r>
  </si>
  <si>
    <t>Tổng Số Ngày</t>
  </si>
  <si>
    <t>Tổng Phải Trả</t>
  </si>
  <si>
    <t>KẾT QUẢ THI TUYỂN SINH</t>
  </si>
  <si>
    <t>Số 
Báo Danh</t>
  </si>
  <si>
    <t>Tên 
Thí Sinh</t>
  </si>
  <si>
    <t>Mã 
Trường</t>
  </si>
  <si>
    <t>Diện 
Chính Sách</t>
  </si>
  <si>
    <t>Điểm
ưu tiên</t>
  </si>
  <si>
    <t>Le</t>
  </si>
  <si>
    <t>CLS</t>
  </si>
  <si>
    <t>Viet</t>
  </si>
  <si>
    <t>CTB</t>
  </si>
  <si>
    <t>Hoang</t>
  </si>
  <si>
    <t>D01</t>
  </si>
  <si>
    <t>Thy</t>
  </si>
  <si>
    <t>D02</t>
  </si>
  <si>
    <t>Thai</t>
  </si>
  <si>
    <t>Bảng Tra Điểm Thi</t>
  </si>
  <si>
    <t>Bảng Điểm Chuẩn</t>
  </si>
  <si>
    <t>Số Báo Danh</t>
  </si>
  <si>
    <t>Mã Trường</t>
  </si>
  <si>
    <t>Điểm Chuẩn</t>
  </si>
  <si>
    <r>
      <t xml:space="preserve">Dựa vào </t>
    </r>
    <r>
      <rPr>
        <b/>
        <sz val="12"/>
        <color indexed="10"/>
        <rFont val="Times New Roman"/>
        <family val="1"/>
      </rPr>
      <t>Số Báo Danh</t>
    </r>
    <r>
      <rPr>
        <sz val="12"/>
        <rFont val="Times New Roman"/>
        <family val="1"/>
      </rPr>
      <t xml:space="preserve"> của mỗi thí sinh và tra ở </t>
    </r>
    <r>
      <rPr>
        <b/>
        <sz val="12"/>
        <color indexed="48"/>
        <rFont val="Times New Roman"/>
        <family val="1"/>
      </rPr>
      <t>Bảng Tra Điểm Thi</t>
    </r>
    <r>
      <rPr>
        <sz val="12"/>
        <rFont val="Times New Roman"/>
        <family val="1"/>
      </rPr>
      <t xml:space="preserve"> hãy xác định giá trị cho các cột điểm</t>
    </r>
  </si>
  <si>
    <r>
      <t>Toán</t>
    </r>
    <r>
      <rPr>
        <sz val="12"/>
        <rFont val="Times New Roman"/>
        <family val="1"/>
      </rPr>
      <t xml:space="preserve">, </t>
    </r>
    <r>
      <rPr>
        <b/>
        <sz val="12"/>
        <color indexed="16"/>
        <rFont val="Times New Roman"/>
        <family val="1"/>
      </rPr>
      <t>Lý</t>
    </r>
    <r>
      <rPr>
        <sz val="12"/>
        <rFont val="Times New Roman"/>
        <family val="1"/>
      </rPr>
      <t xml:space="preserve"> và </t>
    </r>
    <r>
      <rPr>
        <b/>
        <sz val="12"/>
        <color indexed="16"/>
        <rFont val="Times New Roman"/>
        <family val="1"/>
      </rPr>
      <t>Hoá</t>
    </r>
  </si>
  <si>
    <r>
      <t xml:space="preserve">Xác định </t>
    </r>
    <r>
      <rPr>
        <b/>
        <sz val="12"/>
        <color indexed="12"/>
        <rFont val="Times New Roman"/>
        <family val="1"/>
      </rPr>
      <t>Điểm ưu tiên</t>
    </r>
    <r>
      <rPr>
        <sz val="12"/>
        <rFont val="Times New Roman"/>
        <family val="1"/>
      </rPr>
      <t xml:space="preserve"> cho mỗi thí sinh, biết rằng: </t>
    </r>
  </si>
  <si>
    <r>
      <t xml:space="preserve"> - Nếu thuộc diện chính sách là </t>
    </r>
    <r>
      <rPr>
        <b/>
        <sz val="12"/>
        <color indexed="16"/>
        <rFont val="Times New Roman"/>
        <family val="1"/>
      </rPr>
      <t>CLS</t>
    </r>
    <r>
      <rPr>
        <sz val="12"/>
        <rFont val="Times New Roman"/>
        <family val="1"/>
      </rPr>
      <t xml:space="preserve"> (</t>
    </r>
    <r>
      <rPr>
        <b/>
        <sz val="12"/>
        <color indexed="56"/>
        <rFont val="Times New Roman"/>
        <family val="1"/>
      </rPr>
      <t>Con liệt sỹ</t>
    </r>
    <r>
      <rPr>
        <sz val="12"/>
        <rFont val="Times New Roman"/>
        <family val="1"/>
      </rPr>
      <t xml:space="preserve">) thì được </t>
    </r>
    <r>
      <rPr>
        <b/>
        <sz val="12"/>
        <color indexed="10"/>
        <rFont val="Times New Roman"/>
        <family val="1"/>
      </rPr>
      <t>1,5</t>
    </r>
    <r>
      <rPr>
        <sz val="12"/>
        <rFont val="Times New Roman"/>
        <family val="1"/>
      </rPr>
      <t xml:space="preserve"> điểm</t>
    </r>
  </si>
  <si>
    <r>
      <t xml:space="preserve"> - Nếu thuộc diện chính sách là </t>
    </r>
    <r>
      <rPr>
        <b/>
        <sz val="12"/>
        <color indexed="16"/>
        <rFont val="Times New Roman"/>
        <family val="1"/>
      </rPr>
      <t>CTB</t>
    </r>
    <r>
      <rPr>
        <sz val="12"/>
        <rFont val="Times New Roman"/>
        <family val="1"/>
      </rPr>
      <t xml:space="preserve"> (</t>
    </r>
    <r>
      <rPr>
        <b/>
        <sz val="12"/>
        <color indexed="56"/>
        <rFont val="Times New Roman"/>
        <family val="1"/>
      </rPr>
      <t>Con thương binh</t>
    </r>
    <r>
      <rPr>
        <sz val="12"/>
        <rFont val="Times New Roman"/>
        <family val="1"/>
      </rPr>
      <t xml:space="preserve">) thì được </t>
    </r>
    <r>
      <rPr>
        <b/>
        <sz val="12"/>
        <color indexed="10"/>
        <rFont val="Times New Roman"/>
        <family val="1"/>
      </rPr>
      <t>1</t>
    </r>
    <r>
      <rPr>
        <sz val="12"/>
        <rFont val="Times New Roman"/>
        <family val="1"/>
      </rPr>
      <t xml:space="preserve"> điểm</t>
    </r>
  </si>
  <si>
    <r>
      <t xml:space="preserve"> - Nếu thuộc diện chính sách là </t>
    </r>
    <r>
      <rPr>
        <b/>
        <sz val="12"/>
        <color indexed="16"/>
        <rFont val="Times New Roman"/>
        <family val="1"/>
      </rPr>
      <t>MN</t>
    </r>
    <r>
      <rPr>
        <sz val="12"/>
        <rFont val="Times New Roman"/>
        <family val="1"/>
      </rPr>
      <t xml:space="preserve"> (</t>
    </r>
    <r>
      <rPr>
        <b/>
        <sz val="12"/>
        <color indexed="56"/>
        <rFont val="Times New Roman"/>
        <family val="1"/>
      </rPr>
      <t>Miền núi</t>
    </r>
    <r>
      <rPr>
        <sz val="12"/>
        <rFont val="Times New Roman"/>
        <family val="1"/>
      </rPr>
      <t xml:space="preserve">) thì được </t>
    </r>
    <r>
      <rPr>
        <b/>
        <sz val="12"/>
        <color indexed="10"/>
        <rFont val="Times New Roman"/>
        <family val="1"/>
      </rPr>
      <t>0,5</t>
    </r>
    <r>
      <rPr>
        <sz val="12"/>
        <rFont val="Times New Roman"/>
        <family val="1"/>
      </rPr>
      <t xml:space="preserve"> điểm</t>
    </r>
  </si>
  <si>
    <r>
      <t xml:space="preserve"> - Còn ngoài ra không thuộc các diện thì </t>
    </r>
    <r>
      <rPr>
        <b/>
        <sz val="12"/>
        <color indexed="10"/>
        <rFont val="Times New Roman"/>
        <family val="1"/>
      </rPr>
      <t>0</t>
    </r>
    <r>
      <rPr>
        <sz val="12"/>
        <rFont val="Times New Roman"/>
        <family val="1"/>
      </rPr>
      <t xml:space="preserve"> điểm</t>
    </r>
  </si>
  <si>
    <r>
      <t xml:space="preserve">Tính </t>
    </r>
    <r>
      <rPr>
        <b/>
        <sz val="12"/>
        <color indexed="20"/>
        <rFont val="Times New Roman"/>
        <family val="1"/>
      </rPr>
      <t>Tổng Điểm</t>
    </r>
    <r>
      <rPr>
        <sz val="12"/>
        <rFont val="Times New Roman"/>
        <family val="1"/>
      </rPr>
      <t xml:space="preserve"> biết rằng </t>
    </r>
    <r>
      <rPr>
        <b/>
        <sz val="12"/>
        <color indexed="62"/>
        <rFont val="Times New Roman"/>
        <family val="1"/>
      </rPr>
      <t>Tổng Điểm = Điểm Toán + Điểm Hoá  + Điểm Lý + Điểm ưu tiên</t>
    </r>
  </si>
  <si>
    <r>
      <t xml:space="preserve">Xác định giá trị cho cột </t>
    </r>
    <r>
      <rPr>
        <b/>
        <sz val="12"/>
        <color indexed="17"/>
        <rFont val="Times New Roman"/>
        <family val="1"/>
      </rPr>
      <t>Kết Quả</t>
    </r>
    <r>
      <rPr>
        <sz val="12"/>
        <rFont val="Times New Roman"/>
        <family val="1"/>
      </rPr>
      <t xml:space="preserve">, biết rằng : Nếu: </t>
    </r>
    <r>
      <rPr>
        <b/>
        <sz val="12"/>
        <color indexed="21"/>
        <rFont val="Times New Roman"/>
        <family val="1"/>
      </rPr>
      <t>Tổng Điểm &gt;= Điểm Chuẩn</t>
    </r>
    <r>
      <rPr>
        <sz val="12"/>
        <rFont val="Times New Roman"/>
        <family val="1"/>
      </rPr>
      <t xml:space="preserve"> thì ghi là "</t>
    </r>
    <r>
      <rPr>
        <b/>
        <sz val="12"/>
        <color indexed="10"/>
        <rFont val="Times New Roman"/>
        <family val="1"/>
      </rPr>
      <t>Đậu</t>
    </r>
    <r>
      <rPr>
        <sz val="12"/>
        <rFont val="Times New Roman"/>
        <family val="1"/>
      </rPr>
      <t>",</t>
    </r>
  </si>
  <si>
    <r>
      <t>còn ngược lại thì ghi là "</t>
    </r>
    <r>
      <rPr>
        <b/>
        <sz val="12"/>
        <color indexed="18"/>
        <rFont val="Times New Roman"/>
        <family val="1"/>
      </rPr>
      <t>Rớt</t>
    </r>
    <r>
      <rPr>
        <sz val="12"/>
        <rFont val="Times New Roman"/>
        <family val="1"/>
      </rPr>
      <t xml:space="preserve">", trong đó </t>
    </r>
    <r>
      <rPr>
        <b/>
        <sz val="12"/>
        <color indexed="21"/>
        <rFont val="Times New Roman"/>
        <family val="1"/>
      </rPr>
      <t>Điểm Chuẩn</t>
    </r>
    <r>
      <rPr>
        <sz val="12"/>
        <rFont val="Times New Roman"/>
        <family val="1"/>
      </rPr>
      <t xml:space="preserve"> của mỗi trường thì tra theo </t>
    </r>
    <r>
      <rPr>
        <b/>
        <sz val="12"/>
        <color indexed="61"/>
        <rFont val="Times New Roman"/>
        <family val="1"/>
      </rPr>
      <t>Bảng Điểm Chuẩn</t>
    </r>
  </si>
  <si>
    <r>
      <t xml:space="preserve">dựa vào giá trị ở cột </t>
    </r>
    <r>
      <rPr>
        <b/>
        <sz val="12"/>
        <color indexed="21"/>
        <rFont val="Times New Roman"/>
        <family val="1"/>
      </rPr>
      <t>Mã Trường</t>
    </r>
  </si>
  <si>
    <t>Công ty Xuất nhập khẩu</t>
  </si>
  <si>
    <t>TÌNH HÌNH XUẤT HÀNG NÔNG SẢN QUÝ 1 - 2002</t>
  </si>
  <si>
    <t>Tiền Giảm</t>
  </si>
  <si>
    <t>GTD-1</t>
  </si>
  <si>
    <t>GTH-2</t>
  </si>
  <si>
    <t>GNH-3</t>
  </si>
  <si>
    <t>GTT-2</t>
  </si>
  <si>
    <t>GTD-2</t>
  </si>
  <si>
    <t>GTH-3</t>
  </si>
  <si>
    <t>Bảng Tra</t>
  </si>
  <si>
    <t>GTD</t>
  </si>
  <si>
    <t>Gạo trắng dài</t>
  </si>
  <si>
    <t>GTH</t>
  </si>
  <si>
    <t>Gạo thơm</t>
  </si>
  <si>
    <t>GNH</t>
  </si>
  <si>
    <t>Gạo Nàng Hương</t>
  </si>
  <si>
    <t>GTT</t>
  </si>
  <si>
    <t>Gạo trắng tròn</t>
  </si>
  <si>
    <r>
      <t xml:space="preserve">Dựa vào 3 ký tự bên trái của </t>
    </r>
    <r>
      <rPr>
        <b/>
        <sz val="12"/>
        <color indexed="60"/>
        <rFont val="Times New Roman"/>
        <family val="1"/>
      </rPr>
      <t>Mã Hàng</t>
    </r>
    <r>
      <rPr>
        <sz val="12"/>
        <rFont val="Times New Roman"/>
        <family val="1"/>
      </rPr>
      <t xml:space="preserve"> và tra trong </t>
    </r>
    <r>
      <rPr>
        <b/>
        <sz val="12"/>
        <color indexed="12"/>
        <rFont val="Times New Roman"/>
        <family val="1"/>
      </rPr>
      <t>Bảng Tra</t>
    </r>
    <r>
      <rPr>
        <sz val="12"/>
        <rFont val="Times New Roman"/>
        <family val="1"/>
      </rPr>
      <t>, hãy điền tên cho các mặt hàng</t>
    </r>
  </si>
  <si>
    <r>
      <t xml:space="preserve">Hãy tính </t>
    </r>
    <r>
      <rPr>
        <b/>
        <sz val="12"/>
        <color indexed="18"/>
        <rFont val="Times New Roman"/>
        <family val="1"/>
      </rPr>
      <t>Thành Tiền</t>
    </r>
    <r>
      <rPr>
        <sz val="12"/>
        <rFont val="Times New Roman"/>
        <family val="1"/>
      </rPr>
      <t xml:space="preserve">, biết rằng </t>
    </r>
    <r>
      <rPr>
        <b/>
        <sz val="12"/>
        <color indexed="18"/>
        <rFont val="Times New Roman"/>
        <family val="1"/>
      </rPr>
      <t xml:space="preserve">Thành Tiền </t>
    </r>
    <r>
      <rPr>
        <sz val="12"/>
        <rFont val="Times New Roman"/>
        <family val="1"/>
      </rPr>
      <t xml:space="preserve">= </t>
    </r>
    <r>
      <rPr>
        <b/>
        <sz val="12"/>
        <color indexed="21"/>
        <rFont val="Times New Roman"/>
        <family val="1"/>
      </rPr>
      <t>Số Lượng</t>
    </r>
    <r>
      <rPr>
        <b/>
        <sz val="12"/>
        <color indexed="16"/>
        <rFont val="Times New Roman"/>
        <family val="1"/>
      </rPr>
      <t xml:space="preserve"> * Đơn Giá</t>
    </r>
    <r>
      <rPr>
        <sz val="12"/>
        <rFont val="Times New Roman"/>
        <family val="1"/>
      </rPr>
      <t>, trong đó:</t>
    </r>
  </si>
  <si>
    <r>
      <t xml:space="preserve">       </t>
    </r>
    <r>
      <rPr>
        <b/>
        <sz val="12"/>
        <color indexed="16"/>
        <rFont val="Times New Roman"/>
        <family val="1"/>
      </rPr>
      <t xml:space="preserve">Đơn Giá </t>
    </r>
    <r>
      <rPr>
        <sz val="12"/>
        <rFont val="Times New Roman"/>
        <family val="1"/>
      </rPr>
      <t xml:space="preserve">của mỗi mặt hàng thì tra trong </t>
    </r>
    <r>
      <rPr>
        <b/>
        <sz val="12"/>
        <color indexed="10"/>
        <rFont val="Times New Roman"/>
        <family val="1"/>
      </rPr>
      <t>Bảng Tra</t>
    </r>
    <r>
      <rPr>
        <sz val="12"/>
        <rFont val="Times New Roman"/>
        <family val="1"/>
      </rPr>
      <t xml:space="preserve"> dựa vào </t>
    </r>
    <r>
      <rPr>
        <b/>
        <sz val="12"/>
        <color indexed="21"/>
        <rFont val="Times New Roman"/>
        <family val="1"/>
      </rPr>
      <t>Mã Hàng</t>
    </r>
  </si>
  <si>
    <r>
      <t xml:space="preserve">Tính </t>
    </r>
    <r>
      <rPr>
        <b/>
        <sz val="12"/>
        <color indexed="18"/>
        <rFont val="Times New Roman"/>
        <family val="1"/>
      </rPr>
      <t xml:space="preserve">Tiền Giảm </t>
    </r>
    <r>
      <rPr>
        <sz val="12"/>
        <rFont val="Times New Roman"/>
        <family val="1"/>
      </rPr>
      <t xml:space="preserve">cho mỗi loại hàng biết rằng </t>
    </r>
    <r>
      <rPr>
        <b/>
        <sz val="12"/>
        <color indexed="18"/>
        <rFont val="Times New Roman"/>
        <family val="1"/>
      </rPr>
      <t xml:space="preserve">Tiêfn Giảm </t>
    </r>
    <r>
      <rPr>
        <sz val="12"/>
        <rFont val="Times New Roman"/>
        <family val="1"/>
      </rPr>
      <t xml:space="preserve">= </t>
    </r>
    <r>
      <rPr>
        <b/>
        <sz val="12"/>
        <color indexed="16"/>
        <rFont val="Times New Roman"/>
        <family val="1"/>
      </rPr>
      <t xml:space="preserve"> Thành Tiền * %Giảm</t>
    </r>
    <r>
      <rPr>
        <sz val="12"/>
        <rFont val="Times New Roman"/>
        <family val="1"/>
      </rPr>
      <t xml:space="preserve">, trong đó : </t>
    </r>
    <r>
      <rPr>
        <b/>
        <sz val="12"/>
        <color indexed="12"/>
        <rFont val="Times New Roman"/>
        <family val="1"/>
      </rPr>
      <t>%Giảm</t>
    </r>
  </si>
  <si>
    <t>cho mỗi mặt hàng dựa vào ký tự đầu tiên bên phải, nếu :</t>
  </si>
  <si>
    <r>
      <t xml:space="preserve">    </t>
    </r>
    <r>
      <rPr>
        <i/>
        <sz val="12"/>
        <color indexed="12"/>
        <rFont val="Times New Roman"/>
        <family val="1"/>
      </rPr>
      <t>+ Bằng 1</t>
    </r>
    <r>
      <rPr>
        <sz val="12"/>
        <rFont val="Times New Roman"/>
        <family val="1"/>
      </rPr>
      <t xml:space="preserve"> : </t>
    </r>
    <r>
      <rPr>
        <i/>
        <sz val="12"/>
        <color indexed="16"/>
        <rFont val="Times New Roman"/>
        <family val="1"/>
      </rPr>
      <t>thì được giảm 3%</t>
    </r>
  </si>
  <si>
    <r>
      <t xml:space="preserve">    </t>
    </r>
    <r>
      <rPr>
        <i/>
        <sz val="12"/>
        <color indexed="53"/>
        <rFont val="Times New Roman"/>
        <family val="1"/>
      </rPr>
      <t>+ Bằng 2</t>
    </r>
    <r>
      <rPr>
        <sz val="12"/>
        <rFont val="Times New Roman"/>
        <family val="1"/>
      </rPr>
      <t xml:space="preserve"> :</t>
    </r>
    <r>
      <rPr>
        <i/>
        <sz val="12"/>
        <color indexed="62"/>
        <rFont val="Times New Roman"/>
        <family val="1"/>
      </rPr>
      <t xml:space="preserve"> thì được giảm 5%</t>
    </r>
  </si>
  <si>
    <r>
      <t xml:space="preserve">    </t>
    </r>
    <r>
      <rPr>
        <i/>
        <sz val="12"/>
        <color indexed="59"/>
        <rFont val="Times New Roman"/>
        <family val="1"/>
      </rPr>
      <t>+ Bằng 3</t>
    </r>
    <r>
      <rPr>
        <sz val="12"/>
        <rFont val="Times New Roman"/>
        <family val="1"/>
      </rPr>
      <t xml:space="preserve"> : </t>
    </r>
    <r>
      <rPr>
        <i/>
        <sz val="12"/>
        <color indexed="17"/>
        <rFont val="Times New Roman"/>
        <family val="1"/>
      </rPr>
      <t>thì được giảm 7%</t>
    </r>
  </si>
  <si>
    <r>
      <t xml:space="preserve">Tính </t>
    </r>
    <r>
      <rPr>
        <b/>
        <sz val="12"/>
        <color indexed="18"/>
        <rFont val="Times New Roman"/>
        <family val="1"/>
      </rPr>
      <t xml:space="preserve">Phải Trả </t>
    </r>
    <r>
      <rPr>
        <sz val="12"/>
        <rFont val="Times New Roman"/>
        <family val="1"/>
      </rPr>
      <t xml:space="preserve">= </t>
    </r>
    <r>
      <rPr>
        <b/>
        <sz val="12"/>
        <color indexed="16"/>
        <rFont val="Times New Roman"/>
        <family val="1"/>
      </rPr>
      <t xml:space="preserve"> Thành Tiền  - Tiền Giảm</t>
    </r>
  </si>
  <si>
    <r>
      <t xml:space="preserve">Tính </t>
    </r>
    <r>
      <rPr>
        <b/>
        <sz val="12"/>
        <color indexed="16"/>
        <rFont val="Times New Roman"/>
        <family val="1"/>
      </rPr>
      <t>Tổng Cộng</t>
    </r>
    <r>
      <rPr>
        <sz val="12"/>
        <rFont val="Times New Roman"/>
        <family val="1"/>
      </rPr>
      <t xml:space="preserve"> cho các cột </t>
    </r>
    <r>
      <rPr>
        <b/>
        <sz val="12"/>
        <color indexed="12"/>
        <rFont val="Times New Roman"/>
        <family val="1"/>
      </rPr>
      <t xml:space="preserve">Số Lượng, </t>
    </r>
    <r>
      <rPr>
        <b/>
        <sz val="12"/>
        <color indexed="62"/>
        <rFont val="Times New Roman"/>
        <family val="1"/>
      </rPr>
      <t xml:space="preserve">Thành Tiền, </t>
    </r>
    <r>
      <rPr>
        <b/>
        <sz val="12"/>
        <color indexed="10"/>
        <rFont val="Times New Roman"/>
        <family val="1"/>
      </rPr>
      <t>Tiền Giảm</t>
    </r>
    <r>
      <rPr>
        <b/>
        <sz val="12"/>
        <color indexed="62"/>
        <rFont val="Times New Roman"/>
        <family val="1"/>
      </rPr>
      <t xml:space="preserve"> </t>
    </r>
    <r>
      <rPr>
        <b/>
        <sz val="12"/>
        <rFont val="Times New Roman"/>
        <family val="1"/>
      </rPr>
      <t>và</t>
    </r>
    <r>
      <rPr>
        <b/>
        <sz val="12"/>
        <color indexed="62"/>
        <rFont val="Times New Roman"/>
        <family val="1"/>
      </rPr>
      <t xml:space="preserve"> </t>
    </r>
    <r>
      <rPr>
        <b/>
        <sz val="12"/>
        <color indexed="17"/>
        <rFont val="Times New Roman"/>
        <family val="1"/>
      </rPr>
      <t>Phải Trả</t>
    </r>
  </si>
  <si>
    <t>Lương Thị Cao</t>
  </si>
  <si>
    <t>Cao Thị Phúc</t>
  </si>
  <si>
    <t>Lương tháng</t>
  </si>
  <si>
    <t>Số ngày công</t>
  </si>
  <si>
    <t>Lương ngày</t>
  </si>
  <si>
    <t>Chức vụ</t>
  </si>
  <si>
    <t>Phụ cấp chức vụ</t>
  </si>
  <si>
    <t>Thực lãnh</t>
  </si>
  <si>
    <t>6. Lập công thức lấy số liệu cho các người làm hơn 22 ngày, số người lương hơn 1 triệu.</t>
  </si>
  <si>
    <t>DANH SÁCH ĐĂNG KÝ THUÊ PHÒNG</t>
  </si>
  <si>
    <t>TA10T</t>
  </si>
  <si>
    <t>4 Ký tự
đầu</t>
  </si>
  <si>
    <t>Cao cấp</t>
  </si>
  <si>
    <t>Thường</t>
  </si>
  <si>
    <t>TR20</t>
  </si>
  <si>
    <t>TA10</t>
  </si>
  <si>
    <t>GO55</t>
  </si>
  <si>
    <t>GO55C</t>
  </si>
  <si>
    <t>Thép tròn 20mm</t>
  </si>
  <si>
    <t>Thép tấm 10mm</t>
  </si>
  <si>
    <t>Thép góc 5x5mm</t>
  </si>
  <si>
    <t>AU</t>
  </si>
  <si>
    <t>KO</t>
  </si>
  <si>
    <t>GE</t>
  </si>
  <si>
    <t>Xuất xứ</t>
  </si>
  <si>
    <t>Giá VC</t>
  </si>
  <si>
    <t>Australia</t>
  </si>
  <si>
    <t>Korea</t>
  </si>
  <si>
    <t>Germany</t>
  </si>
  <si>
    <t>- Ký tự cuối của Mã hàng cho biết Loại hàng là Cao cấp (C) hay là Thường (T).</t>
  </si>
  <si>
    <t>để lấy giá trị hợp lý.</t>
  </si>
  <si>
    <t>+ Đơn giá: Dựa vào 4 ký tự đầu của Mã hàng, tra trong BẢNG 1, kết hợp với Loại hàng</t>
  </si>
  <si>
    <t>+ Giá vận chuyển: dựa vào Mã QG, tra trong BẢNG 2.</t>
  </si>
  <si>
    <t xml:space="preserve">    Nếu bán ra trong tháng 5 thì giảm 5% Thành tiền.</t>
  </si>
  <si>
    <t>Hàng cao cấp</t>
  </si>
  <si>
    <t>Hàng thường</t>
  </si>
  <si>
    <t>1- NĂM: Dùng hàm lấy ra năm hiện tại.</t>
  </si>
  <si>
    <t>2- Tên hàng: Dựa vào 4 ký tự đầu của Mã hàng, tra trong BẢNG 1.</t>
  </si>
  <si>
    <t>3- Mã QG: Dựa vào 4 ký tự đầu của Mã hàng, tra trong BẢNG 1.</t>
  </si>
  <si>
    <t>4- Trị giá = Số lượng * Đơn giá. Biết rằng:</t>
  </si>
  <si>
    <t>5- Phí vận chuyển = Số lượng * Giá VC. Biết rằng:</t>
  </si>
  <si>
    <t>6- Thành tiền = Trị giá + Phí vận chuyển.</t>
  </si>
  <si>
    <t>7- Sắp xếp lại bảng tính theo thứ tự tăng dần của Mã QG, nếu trùng thì sắp giảm theo Số lượng.</t>
  </si>
  <si>
    <t>8- Rút trích danh sách các mặt hàng loại "Thường" bán ra trong tháng 5.</t>
  </si>
  <si>
    <r>
      <t xml:space="preserve">10- Trang trí như bảng tính trên và lưu với tên </t>
    </r>
    <r>
      <rPr>
        <b/>
        <sz val="12"/>
        <rFont val="Times New Roman"/>
        <family val="1"/>
      </rPr>
      <t>Bai17.xls</t>
    </r>
    <r>
      <rPr>
        <sz val="12"/>
        <rFont val="Times New Roman"/>
        <family val="1"/>
      </rPr>
      <t>.</t>
    </r>
  </si>
  <si>
    <t>BÀI THỰC HÀNH EXCEL SỐ 18</t>
  </si>
  <si>
    <t>CUỘC ĐUA XE ĐẠP MỪNG XUÂN</t>
  </si>
  <si>
    <t>Giờ xuất phát: 6:00</t>
  </si>
  <si>
    <t>Số Km: 120</t>
  </si>
  <si>
    <t>Mã
vận động
viên</t>
  </si>
  <si>
    <t>Tên
vận động 
viên</t>
  </si>
  <si>
    <t>Đội</t>
  </si>
  <si>
    <t>Giờ
kết thúc</t>
  </si>
  <si>
    <t>Thành tích</t>
  </si>
  <si>
    <t>Vận tốc
(Km/h)</t>
  </si>
  <si>
    <t>Xếp hạng</t>
  </si>
  <si>
    <t>KSTVM</t>
  </si>
  <si>
    <t>KSVNH</t>
  </si>
  <si>
    <t>KSPDT</t>
  </si>
  <si>
    <t>CAHVH</t>
  </si>
  <si>
    <t>CAHMQ</t>
  </si>
  <si>
    <t>CANTK</t>
  </si>
  <si>
    <t>TGHDD</t>
  </si>
  <si>
    <t>TGLDC</t>
  </si>
  <si>
    <t>TGTAT</t>
  </si>
  <si>
    <t>AGVGS</t>
  </si>
  <si>
    <t>DANH SÁCH ĐỘI</t>
  </si>
  <si>
    <t>ĐỘI</t>
  </si>
  <si>
    <t>TÊN ĐỘI</t>
  </si>
  <si>
    <t>KS</t>
  </si>
  <si>
    <t>CA</t>
  </si>
  <si>
    <t>TG</t>
  </si>
  <si>
    <t>Khách sạn Thanh Bình</t>
  </si>
  <si>
    <t>Công an Thành phố</t>
  </si>
  <si>
    <t>Tiền Giang</t>
  </si>
  <si>
    <t>Bảo vệ TV An Giang</t>
  </si>
  <si>
    <t>MÃ VĐV</t>
  </si>
  <si>
    <t>TÊN VĐV</t>
  </si>
  <si>
    <t>HDD</t>
  </si>
  <si>
    <t>HMQ</t>
  </si>
  <si>
    <t>HVH</t>
  </si>
  <si>
    <t>LDC</t>
  </si>
  <si>
    <t>NTK</t>
  </si>
  <si>
    <t>PDT</t>
  </si>
  <si>
    <t>TAT</t>
  </si>
  <si>
    <t>TVM</t>
  </si>
  <si>
    <t>VGS</t>
  </si>
  <si>
    <t>VNH</t>
  </si>
  <si>
    <t>Huỳnh Đại Đồng</t>
  </si>
  <si>
    <t>Hoàng Mạnh Quân</t>
  </si>
  <si>
    <t>Hồ Văn Hùng</t>
  </si>
  <si>
    <t>Lê Đức Công</t>
  </si>
  <si>
    <t>Nguyễn Trần Khải</t>
  </si>
  <si>
    <t>Phạm Đình Tấn</t>
  </si>
  <si>
    <t>Trần Anh Thư</t>
  </si>
  <si>
    <t>Trần Vũ Minh</t>
  </si>
  <si>
    <t>Vũ Giáo Sửu</t>
  </si>
  <si>
    <t>Vũ Ngọc Hoàng</t>
  </si>
  <si>
    <t>- 2 ký tự đầu của Mã vận động viên cho biết</t>
  </si>
  <si>
    <t>tên đội, các ký tự còn lại là Tên VĐV.</t>
  </si>
  <si>
    <t>1- Dựa vào 2 bảng để lấy tên đội và tên VĐV.</t>
  </si>
  <si>
    <t>2- Thành tích là số giờ và phút đạt được từ lúc xuất phát cho đến đích.</t>
  </si>
  <si>
    <t>3- Vận tốc là Số Km/tổng số giờ đi được và làm tròn đến hàng đơn vị,</t>
  </si>
  <si>
    <t xml:space="preserve">    định dạng theo kiểu KM/H (Vd: 50 KM.H).</t>
  </si>
  <si>
    <t>4- Xếp hạng thành tích các cá nhân.</t>
  </si>
  <si>
    <t>5- Thống kê theo mẫu sau:</t>
  </si>
  <si>
    <t>Vận tốc trung bình các đội</t>
  </si>
  <si>
    <t>VẬN TỐC TB</t>
  </si>
  <si>
    <t>XẾP HẠNG</t>
  </si>
  <si>
    <t>Xếp hạng: nếu đội nào có Vận tốc trung bình</t>
  </si>
  <si>
    <t>cao nhất thì xếp hạng nhất.</t>
  </si>
  <si>
    <t>6- Rút trích đầy đủ thông tin về các vận động viên đoạt giải 1, 2, 3.</t>
  </si>
  <si>
    <t>Định dạng cột vận tốc trung bình</t>
  </si>
  <si>
    <t>theo kiểu KM/H. (Vd: 50 Km/h)</t>
  </si>
  <si>
    <t>DANH SÁCH
VẬN ĐỘNG VIÊN</t>
  </si>
  <si>
    <r>
      <t xml:space="preserve">7- Trang trí như bảng tính trên và lưu với tên </t>
    </r>
    <r>
      <rPr>
        <b/>
        <sz val="12"/>
        <rFont val="Times New Roman"/>
        <family val="1"/>
      </rPr>
      <t>Bai18.xls</t>
    </r>
    <r>
      <rPr>
        <sz val="12"/>
        <rFont val="Times New Roman"/>
        <family val="1"/>
      </rPr>
      <t>.</t>
    </r>
  </si>
  <si>
    <t>BÀI THỰC HÀNH EXCEL SỐ 19</t>
  </si>
  <si>
    <t>BẢNG KÊ TIỀN CHO THUÊ MÁY VI TÍNH</t>
  </si>
  <si>
    <t>THỜI GIAN THUÊ</t>
  </si>
  <si>
    <t>PHÚT</t>
  </si>
  <si>
    <t>01T</t>
  </si>
  <si>
    <t>02I</t>
  </si>
  <si>
    <t>03M</t>
  </si>
  <si>
    <t>06T</t>
  </si>
  <si>
    <t>09I</t>
  </si>
  <si>
    <t>01I</t>
  </si>
  <si>
    <t>05M</t>
  </si>
  <si>
    <t>08T</t>
  </si>
  <si>
    <t>MÃ THUÊ</t>
  </si>
  <si>
    <t>I</t>
  </si>
  <si>
    <t>Đơn giá/1 giờ</t>
  </si>
  <si>
    <t>Đơn giá/1 phút</t>
  </si>
  <si>
    <t>STT Máy</t>
  </si>
  <si>
    <t>Doanh thu</t>
  </si>
  <si>
    <t>Số lần thuê trong ngày</t>
  </si>
  <si>
    <t>01</t>
  </si>
  <si>
    <t>02</t>
  </si>
  <si>
    <t>03</t>
  </si>
  <si>
    <t>- 2 ký tự đầu của Mã số cho biết STT Máy.</t>
  </si>
  <si>
    <t>- Ký tự cuối của Mã số cho biết Hình thức thuê máy là Thực hành (T), Internet (I) hay Check Mail (M).</t>
  </si>
  <si>
    <t>1- Hình thức thuê: dựa vào ký tự cuối của Mã số để điền giá trị thích hợp.</t>
  </si>
  <si>
    <t>2- Giờ = Trả máy - Nhận máy. Lưu ý: Chỉ lấy phần giờ.</t>
  </si>
  <si>
    <t xml:space="preserve">    Vd: Nhận máy lúc 9:00, trả máy lúc 10:30 --&gt; Giờ (Thời gian thuê) sẽ là 1.</t>
  </si>
  <si>
    <t>3- Phút = Trả máy - Nhận máy. Lưu ý: Chỉ lấy phần phút.</t>
  </si>
  <si>
    <t xml:space="preserve">    Vd: Nhận máy lúc 9:00, trả máy lúc 10:30 --&gt; Phút (Thời gian thuê) sẽ là 30.</t>
  </si>
  <si>
    <t>4- Tiền thuê:</t>
  </si>
  <si>
    <t>+ Nếu hình thức thuê là Check Mail thì tiền thuê là = 3500,</t>
  </si>
  <si>
    <t xml:space="preserve">   còn ngược lại thì Tiền thuê = Giờ * Đơn giá/1 giờ + Phút * Đơn giá/1 phút.</t>
  </si>
  <si>
    <t>Với: Đơn giá/1 giờ: dựa vào hình thức thuê, tra trong BẢNG 1 để lấy Đơn giá theo giờ tương ứng.</t>
  </si>
  <si>
    <t xml:space="preserve">       Đơn giá/1 phút: dựa vào hình thức thuê, tra trong BẢNG 1 để lấy Đơn giá theo phút tương ứng.</t>
  </si>
  <si>
    <t>5- Tiền giảm: nếu thuê nhiều hơn 2 giờ thì Tiền giảm = 20% của Tiền thuê, còn ngược lại thì không giảm.</t>
  </si>
  <si>
    <t>6- Tiền phải trả = Tiền thuê - Tiền giảm.</t>
  </si>
  <si>
    <t>7- Rút trích các thông tin liên quan đến các máy được thuê để Thực hành hay để Internet.</t>
  </si>
  <si>
    <t>9- Trang trí như bảng tính trên và lưu với tên Bai19.xls.</t>
  </si>
  <si>
    <t>BÀI THỰC HÀNH EXCEL SỐ 20</t>
  </si>
  <si>
    <t>BẢNG TÍNH TIỀN KHÁCH SẠN</t>
  </si>
  <si>
    <t>Tên KH</t>
  </si>
  <si>
    <t>Quốc tịch</t>
  </si>
  <si>
    <t>Mã PH</t>
  </si>
  <si>
    <t>Ngày đến</t>
  </si>
  <si>
    <t>Ngày đi</t>
  </si>
  <si>
    <t>Tiền ăn</t>
  </si>
  <si>
    <t>Tiền PV</t>
  </si>
  <si>
    <t>Yoo</t>
  </si>
  <si>
    <t>Lee</t>
  </si>
  <si>
    <t>Dũng</t>
  </si>
  <si>
    <t>Peter</t>
  </si>
  <si>
    <t>David</t>
  </si>
  <si>
    <t>John</t>
  </si>
  <si>
    <t>Việt Nam</t>
  </si>
  <si>
    <t>Anh</t>
  </si>
  <si>
    <t>Pháp</t>
  </si>
  <si>
    <t>Mỹ</t>
  </si>
  <si>
    <t>L1A-F1</t>
  </si>
  <si>
    <t>L2A-F3</t>
  </si>
  <si>
    <t>L2B-F1</t>
  </si>
  <si>
    <t>L1C-F1</t>
  </si>
  <si>
    <t>L2A-F2</t>
  </si>
  <si>
    <t>L1A-F3</t>
  </si>
  <si>
    <t>L2B-F2</t>
  </si>
  <si>
    <t>BẢNG ĐƠN GIÁ PHÒNG</t>
  </si>
  <si>
    <t>Loại phòng</t>
  </si>
  <si>
    <t>Lầu</t>
  </si>
  <si>
    <t>L1</t>
  </si>
  <si>
    <t>L2</t>
  </si>
  <si>
    <t>L3</t>
  </si>
  <si>
    <t>BẢNG GIÁ ĂN</t>
  </si>
  <si>
    <t>F1</t>
  </si>
  <si>
    <t>F2</t>
  </si>
  <si>
    <t>F3</t>
  </si>
  <si>
    <t>BẢNG THỐNG KÊ TIỀN PHÒNG</t>
  </si>
  <si>
    <t>- 2 ký tự đầu của Mã phòng cho biết phòng đó thuộc Lầu mấy.</t>
  </si>
  <si>
    <t>- Ký tự thứ 3 của Mã phòng cho biết Loại phòng.</t>
  </si>
  <si>
    <t>1- Số ngày ở = (Ngày đi - Ngày đến) +1.</t>
  </si>
  <si>
    <t>2- Tiền phòng = Số ngày ở * Đơn giá phòng.</t>
  </si>
  <si>
    <t xml:space="preserve">    Đơn giá phòng: Dựa vào Loại phòng, tra trong BẢNG ĐƠN GIÁ PHÒNG kết hợp với Lầu để lấy giá trị.</t>
  </si>
  <si>
    <t>3- Tiền ăn = Số ngày ở * Giá ăn. (Định dạng 1,000).</t>
  </si>
  <si>
    <t xml:space="preserve">    Giá ăn: Dựa vào 2 ký tự cuối của Mã phòng, tra trong BẢNG GIÁ ĂN để có giá trị hợp lý.</t>
  </si>
  <si>
    <t>4- Tiền PV:</t>
  </si>
  <si>
    <t>- Nếu là khách trong nước (Việt Nam) thì tiền PV = 0,</t>
  </si>
  <si>
    <t>ngược lại thì Tiền PV = Số ngày ở * 2 (USD/ngày).</t>
  </si>
  <si>
    <t>5- Tổng cộng = Tiền phòng + Tiền ăn + Tiền PV.</t>
  </si>
  <si>
    <t>6- Sắp xếp bảng tính tăng dần theo Mã phòng, nếu trùng thì sắp giảm dần theo Quốc tịch.</t>
  </si>
  <si>
    <t>7- Rút trích ra danh sách khách hàng có Quốc tịch là Korea và Anh ở tại khách sạn trong 15 ngày đầu</t>
  </si>
  <si>
    <t xml:space="preserve">    của tháng 09/06.</t>
  </si>
  <si>
    <r>
      <t xml:space="preserve">9- Trang trí như bảng tính trên và lưu với tên </t>
    </r>
    <r>
      <rPr>
        <b/>
        <sz val="12"/>
        <rFont val="Times New Roman"/>
        <family val="1"/>
      </rPr>
      <t>Bai20.xls</t>
    </r>
    <r>
      <rPr>
        <sz val="12"/>
        <rFont val="Times New Roman"/>
        <family val="1"/>
      </rPr>
      <t>.</t>
    </r>
  </si>
  <si>
    <t>Số
ngày ở</t>
  </si>
  <si>
    <t>Tiền
phòng</t>
  </si>
  <si>
    <t>Tổng
cộng</t>
  </si>
  <si>
    <t>3) Thành tiền = (Chỉ số cuối - Chỉ số đầu) * Hệ số *550.</t>
  </si>
  <si>
    <t>1) Nhập số liệu cho bảng tính.</t>
  </si>
  <si>
    <t>5) Cộng = Phụ trội + Thành tiền.</t>
  </si>
  <si>
    <t>2) LÝ THUYẾT = LT/10 nếu LT&gt;10, ngược lại LÝ THUYẾT = LT.</t>
  </si>
  <si>
    <t>3) THỰC HÀNH = TH/10 nếu TH&gt;10, ngược lại THỰC HÀNH = TH.</t>
  </si>
  <si>
    <t>4) ĐTB = (LÝ THUYẾT + THỰC HÀNH)/2.</t>
  </si>
  <si>
    <t>5) Xếp loại cho thí sinh dựa vào BẢNG XẾP LOẠI.</t>
  </si>
  <si>
    <t>BÀI MỞ ĐẦU:</t>
  </si>
  <si>
    <t>1) Nhập và trang trí bảng tính sau:</t>
  </si>
  <si>
    <t>THỜI KHÓA BIỂU HỌC KỲ</t>
  </si>
  <si>
    <t>Thứ</t>
  </si>
  <si>
    <t>Giờ</t>
  </si>
  <si>
    <t>HAI</t>
  </si>
  <si>
    <t>BA</t>
  </si>
  <si>
    <t>TƯ</t>
  </si>
  <si>
    <t>NĂM</t>
  </si>
  <si>
    <t>SÁU</t>
  </si>
  <si>
    <t>BẢY</t>
  </si>
  <si>
    <t>Toán A1</t>
  </si>
  <si>
    <t>Triết</t>
  </si>
  <si>
    <t>Thể dục</t>
  </si>
  <si>
    <t>CSTH1 (LT)</t>
  </si>
  <si>
    <t>KTCT</t>
  </si>
  <si>
    <t>www.facebook.com/hocexcelcoban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</si>
</sst>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43" formatCode="_(* #,##0.00_);_(* \(#,##0.00\);_(* &quot;-&quot;??_);_(@_)"/>
    <numFmt numFmtId="168" formatCode="_-* #,##0\ &quot;₫&quot;_-;\-* #,##0\ &quot;₫&quot;_-;_-* &quot;-&quot;\ &quot;₫&quot;_-;_-@_-"/>
    <numFmt numFmtId="180" formatCode="0.0"/>
    <numFmt numFmtId="181" formatCode="dd/mm"/>
    <numFmt numFmtId="189" formatCode="0.0%"/>
    <numFmt numFmtId="194" formatCode="[$-F400]h:mm:ss\ AM/PM"/>
    <numFmt numFmtId="198" formatCode="[$-1000000]h:mm;@"/>
    <numFmt numFmtId="199" formatCode="0&quot; Km/h&quot;"/>
    <numFmt numFmtId="205" formatCode="mm/yyyy"/>
    <numFmt numFmtId="207" formatCode="dd\-mm\-yy"/>
    <numFmt numFmtId="208" formatCode="_(* #,##0_);_(* \(#,##0\);_(* &quot;-&quot;??_);_(@_)"/>
    <numFmt numFmtId="209" formatCode="mm\-dd\-yy"/>
    <numFmt numFmtId="210" formatCode="0;[Red]0"/>
    <numFmt numFmtId="213" formatCode="0.0000000000"/>
    <numFmt numFmtId="214" formatCode="#,##0\ &quot;Đồng&quot;"/>
    <numFmt numFmtId="216" formatCode="#,##0.0"/>
  </numFmts>
  <fonts count="182">
    <font>
      <sz val="10"/>
      <name val="Arial"/>
    </font>
    <font>
      <sz val="10"/>
      <name val="Arial"/>
    </font>
    <font>
      <sz val="8"/>
      <name val="Arial"/>
      <family val="2"/>
      <charset val="163"/>
    </font>
    <font>
      <sz val="12"/>
      <name val="Arial"/>
      <family val="2"/>
      <charset val="163"/>
    </font>
    <font>
      <sz val="12"/>
      <name val="Times New Roman"/>
      <family val="1"/>
    </font>
    <font>
      <b/>
      <u/>
      <sz val="12"/>
      <name val="Times New Roman"/>
      <family val="1"/>
    </font>
    <font>
      <b/>
      <sz val="12"/>
      <name val="Times New Roman"/>
      <family val="1"/>
    </font>
    <font>
      <u/>
      <sz val="10"/>
      <color indexed="12"/>
      <name val="Arial"/>
      <family val="2"/>
      <charset val="163"/>
    </font>
    <font>
      <b/>
      <sz val="8"/>
      <color indexed="81"/>
      <name val="Tahoma"/>
      <family val="2"/>
      <charset val="163"/>
    </font>
    <font>
      <sz val="8"/>
      <color indexed="81"/>
      <name val="Tahoma"/>
      <family val="2"/>
      <charset val="163"/>
    </font>
    <font>
      <sz val="11"/>
      <name val="Times New Roman"/>
      <family val="1"/>
    </font>
    <font>
      <sz val="15"/>
      <name val="Times New Roman"/>
      <family val="1"/>
    </font>
    <font>
      <b/>
      <i/>
      <u/>
      <sz val="12"/>
      <name val="Arial"/>
      <family val="2"/>
    </font>
    <font>
      <i/>
      <sz val="12"/>
      <name val="Times New Roman"/>
      <family val="1"/>
    </font>
    <font>
      <sz val="18"/>
      <name val="Times New Roman"/>
      <family val="1"/>
    </font>
    <font>
      <b/>
      <vertAlign val="superscript"/>
      <sz val="12"/>
      <name val="Times New Roman"/>
      <family val="1"/>
    </font>
    <font>
      <sz val="16"/>
      <name val="Times New Roman"/>
      <family val="1"/>
      <charset val="163"/>
    </font>
    <font>
      <sz val="12"/>
      <name val="Times New Roman"/>
      <family val="1"/>
      <charset val="163"/>
    </font>
    <font>
      <b/>
      <sz val="12"/>
      <name val="Times New Roman"/>
      <family val="1"/>
      <charset val="163"/>
    </font>
    <font>
      <b/>
      <sz val="16"/>
      <name val="Times New Roman"/>
      <family val="1"/>
      <charset val="163"/>
    </font>
    <font>
      <b/>
      <sz val="10"/>
      <name val="Arial"/>
      <family val="2"/>
      <charset val="163"/>
    </font>
    <font>
      <sz val="10"/>
      <name val="Arial"/>
      <family val="2"/>
      <charset val="163"/>
    </font>
    <font>
      <b/>
      <sz val="12"/>
      <name val=".VnTime"/>
      <family val="2"/>
    </font>
    <font>
      <sz val="12"/>
      <name val=".VnTime"/>
      <family val="2"/>
    </font>
    <font>
      <sz val="12"/>
      <name val="Times New Roman"/>
      <family val="1"/>
      <charset val="163"/>
    </font>
    <font>
      <b/>
      <sz val="12"/>
      <name val="Times New Roman"/>
      <family val="1"/>
      <charset val="163"/>
    </font>
    <font>
      <b/>
      <sz val="12"/>
      <color indexed="12"/>
      <name val="Times New Roman"/>
      <family val="1"/>
    </font>
    <font>
      <sz val="13"/>
      <name val="Times New Roman"/>
      <family val="1"/>
      <charset val="163"/>
    </font>
    <font>
      <sz val="12"/>
      <name val="Times New Roman"/>
      <family val="1"/>
      <charset val="163"/>
    </font>
    <font>
      <b/>
      <sz val="12"/>
      <name val="Times New Roman"/>
      <family val="1"/>
      <charset val="163"/>
    </font>
    <font>
      <b/>
      <sz val="12"/>
      <color indexed="10"/>
      <name val="Times New Roman"/>
      <family val="1"/>
      <charset val="163"/>
    </font>
    <font>
      <sz val="12"/>
      <name val="VNI-Times"/>
    </font>
    <font>
      <b/>
      <sz val="12"/>
      <color indexed="10"/>
      <name val="Times New Roman"/>
      <family val="1"/>
    </font>
    <font>
      <b/>
      <sz val="12"/>
      <color indexed="62"/>
      <name val="Times New Roman"/>
      <family val="1"/>
    </font>
    <font>
      <b/>
      <sz val="12"/>
      <color indexed="17"/>
      <name val="Times New Roman"/>
      <family val="1"/>
    </font>
    <font>
      <sz val="12"/>
      <color indexed="18"/>
      <name val="Times New Roman"/>
      <family val="1"/>
    </font>
    <font>
      <b/>
      <sz val="12"/>
      <color indexed="18"/>
      <name val="Times New Roman"/>
      <family val="1"/>
    </font>
    <font>
      <i/>
      <sz val="12"/>
      <color indexed="56"/>
      <name val="Times New Roman"/>
      <family val="1"/>
    </font>
    <font>
      <sz val="12"/>
      <color indexed="56"/>
      <name val="Times New Roman"/>
      <family val="1"/>
    </font>
    <font>
      <b/>
      <sz val="12"/>
      <color indexed="57"/>
      <name val="Times New Roman"/>
      <family val="1"/>
    </font>
    <font>
      <b/>
      <sz val="12"/>
      <color indexed="20"/>
      <name val="Times New Roman"/>
      <family val="1"/>
    </font>
    <font>
      <b/>
      <sz val="12"/>
      <color indexed="16"/>
      <name val="Times New Roman"/>
      <family val="1"/>
    </font>
    <font>
      <i/>
      <sz val="12"/>
      <color indexed="20"/>
      <name val="Times New Roman"/>
      <family val="1"/>
    </font>
    <font>
      <b/>
      <sz val="12"/>
      <color indexed="60"/>
      <name val="Times New Roman"/>
      <family val="1"/>
    </font>
    <font>
      <b/>
      <sz val="12"/>
      <color indexed="48"/>
      <name val="Times New Roman"/>
      <family val="1"/>
    </font>
    <font>
      <b/>
      <sz val="12"/>
      <color indexed="56"/>
      <name val="Times New Roman"/>
      <family val="1"/>
    </font>
    <font>
      <b/>
      <sz val="12"/>
      <color indexed="58"/>
      <name val="Times New Roman"/>
      <family val="1"/>
    </font>
    <font>
      <b/>
      <i/>
      <sz val="12"/>
      <color indexed="10"/>
      <name val="Times New Roman"/>
      <family val="1"/>
    </font>
    <font>
      <b/>
      <sz val="18"/>
      <color indexed="57"/>
      <name val="Times New Roman"/>
      <family val="1"/>
    </font>
    <font>
      <b/>
      <sz val="11"/>
      <color indexed="12"/>
      <name val="Times New Roman"/>
      <family val="1"/>
    </font>
    <font>
      <sz val="10"/>
      <name val="Times New Roman"/>
      <family val="1"/>
    </font>
    <font>
      <b/>
      <sz val="11"/>
      <color indexed="18"/>
      <name val="Times New Roman"/>
      <family val="1"/>
    </font>
    <font>
      <sz val="11"/>
      <color indexed="18"/>
      <name val="Times New Roman"/>
      <family val="1"/>
    </font>
    <font>
      <b/>
      <sz val="12"/>
      <color indexed="61"/>
      <name val="Times New Roman"/>
      <family val="1"/>
    </font>
    <font>
      <b/>
      <sz val="14"/>
      <color indexed="10"/>
      <name val="Times New Roman"/>
      <family val="1"/>
    </font>
    <font>
      <b/>
      <sz val="11"/>
      <color indexed="61"/>
      <name val="Times New Roman"/>
      <family val="1"/>
    </font>
    <font>
      <b/>
      <sz val="11"/>
      <color indexed="53"/>
      <name val="Times New Roman"/>
      <family val="1"/>
    </font>
    <font>
      <b/>
      <sz val="12"/>
      <color indexed="53"/>
      <name val="Times New Roman"/>
      <family val="1"/>
    </font>
    <font>
      <b/>
      <vertAlign val="superscript"/>
      <sz val="12"/>
      <color indexed="10"/>
      <name val="Times New Roman"/>
      <family val="1"/>
    </font>
    <font>
      <i/>
      <vertAlign val="superscript"/>
      <sz val="12"/>
      <color indexed="20"/>
      <name val="Times New Roman"/>
      <family val="1"/>
    </font>
    <font>
      <i/>
      <sz val="12"/>
      <color indexed="62"/>
      <name val="Times New Roman"/>
      <family val="1"/>
    </font>
    <font>
      <i/>
      <vertAlign val="superscript"/>
      <sz val="12"/>
      <color indexed="62"/>
      <name val="Times New Roman"/>
      <family val="1"/>
    </font>
    <font>
      <i/>
      <sz val="12"/>
      <color indexed="59"/>
      <name val="Times New Roman"/>
      <family val="1"/>
    </font>
    <font>
      <i/>
      <vertAlign val="superscript"/>
      <sz val="12"/>
      <color indexed="59"/>
      <name val="Times New Roman"/>
      <family val="1"/>
    </font>
    <font>
      <sz val="12"/>
      <color indexed="10"/>
      <name val="Times New Roman"/>
      <family val="1"/>
    </font>
    <font>
      <sz val="12"/>
      <color indexed="16"/>
      <name val="Times New Roman"/>
      <family val="1"/>
    </font>
    <font>
      <b/>
      <sz val="12"/>
      <color indexed="52"/>
      <name val="Times New Roman"/>
      <family val="1"/>
    </font>
    <font>
      <b/>
      <u/>
      <sz val="13"/>
      <name val="Times New Roman"/>
      <family val="1"/>
    </font>
    <font>
      <sz val="13"/>
      <name val="Times New Roman"/>
      <family val="1"/>
    </font>
    <font>
      <sz val="7"/>
      <name val="Times New Roman"/>
      <family val="1"/>
    </font>
    <font>
      <b/>
      <sz val="13"/>
      <name val="Times New Roman"/>
      <family val="1"/>
    </font>
    <font>
      <sz val="12"/>
      <color indexed="12"/>
      <name val="Times New Roman"/>
      <family val="1"/>
    </font>
    <font>
      <sz val="12"/>
      <color indexed="61"/>
      <name val="Times New Roman"/>
      <family val="1"/>
    </font>
    <font>
      <b/>
      <sz val="12"/>
      <color indexed="21"/>
      <name val="Times New Roman"/>
      <family val="1"/>
    </font>
    <font>
      <b/>
      <u/>
      <sz val="12"/>
      <name val="Times New Roman"/>
      <family val="1"/>
      <charset val="163"/>
    </font>
    <font>
      <b/>
      <i/>
      <sz val="12"/>
      <name val="Times New Roman"/>
      <family val="1"/>
      <charset val="163"/>
    </font>
    <font>
      <b/>
      <sz val="12"/>
      <color indexed="12"/>
      <name val="Times New Roman"/>
      <family val="1"/>
      <charset val="163"/>
    </font>
    <font>
      <sz val="12"/>
      <color indexed="12"/>
      <name val="Times New Roman"/>
      <family val="1"/>
      <charset val="163"/>
    </font>
    <font>
      <b/>
      <sz val="12"/>
      <color indexed="9"/>
      <name val="Times New Roman"/>
      <family val="1"/>
      <charset val="163"/>
    </font>
    <font>
      <i/>
      <sz val="12"/>
      <color indexed="10"/>
      <name val="Times New Roman"/>
      <family val="1"/>
    </font>
    <font>
      <b/>
      <sz val="12"/>
      <color indexed="19"/>
      <name val="Times New Roman"/>
      <family val="1"/>
    </font>
    <font>
      <i/>
      <sz val="12"/>
      <color indexed="54"/>
      <name val="Times New Roman"/>
      <family val="1"/>
    </font>
    <font>
      <b/>
      <i/>
      <sz val="12"/>
      <color indexed="12"/>
      <name val="Times New Roman"/>
      <family val="1"/>
    </font>
    <font>
      <sz val="12"/>
      <name val="Times New Roman"/>
      <family val="1"/>
      <charset val="163"/>
    </font>
    <font>
      <b/>
      <sz val="12"/>
      <name val="Times New Roman"/>
      <family val="1"/>
      <charset val="163"/>
    </font>
    <font>
      <b/>
      <sz val="12"/>
      <color indexed="9"/>
      <name val="Times New Roman"/>
      <family val="1"/>
    </font>
    <font>
      <b/>
      <vertAlign val="superscript"/>
      <sz val="12"/>
      <color indexed="9"/>
      <name val="Times New Roman"/>
      <family val="1"/>
    </font>
    <font>
      <b/>
      <sz val="12"/>
      <color indexed="9"/>
      <name val="Symbol"/>
      <family val="1"/>
      <charset val="2"/>
    </font>
    <font>
      <b/>
      <i/>
      <u/>
      <sz val="12"/>
      <name val="Times New Roman"/>
      <family val="1"/>
      <charset val="163"/>
    </font>
    <font>
      <i/>
      <sz val="12"/>
      <name val="Times New Roman"/>
      <family val="1"/>
      <charset val="163"/>
    </font>
    <font>
      <b/>
      <sz val="12"/>
      <name val="Times New Roman"/>
      <family val="1"/>
    </font>
    <font>
      <sz val="12"/>
      <name val="Times New Roman"/>
      <family val="1"/>
      <charset val="163"/>
    </font>
    <font>
      <b/>
      <sz val="12"/>
      <name val="Times New Roman"/>
      <family val="1"/>
      <charset val="163"/>
    </font>
    <font>
      <b/>
      <sz val="26"/>
      <color indexed="81"/>
      <name val="Times New Roman"/>
      <family val="1"/>
    </font>
    <font>
      <b/>
      <sz val="24"/>
      <color indexed="81"/>
      <name val="Times New Roman"/>
      <family val="1"/>
    </font>
    <font>
      <b/>
      <sz val="12"/>
      <color indexed="10"/>
      <name val=".VnTime"/>
      <family val="2"/>
    </font>
    <font>
      <b/>
      <u/>
      <sz val="12"/>
      <name val="Times New Roman"/>
      <family val="1"/>
      <charset val="163"/>
    </font>
    <font>
      <sz val="12"/>
      <name val="Times New Roman"/>
      <family val="1"/>
      <charset val="163"/>
    </font>
    <font>
      <b/>
      <sz val="12"/>
      <name val="Times New Roman"/>
      <family val="1"/>
      <charset val="163"/>
    </font>
    <font>
      <b/>
      <sz val="12"/>
      <color indexed="10"/>
      <name val="Times New Roman"/>
      <family val="1"/>
      <charset val="163"/>
    </font>
    <font>
      <b/>
      <sz val="12"/>
      <color indexed="12"/>
      <name val="Times New Roman"/>
      <family val="1"/>
      <charset val="163"/>
    </font>
    <font>
      <sz val="12"/>
      <color indexed="12"/>
      <name val="Times New Roman"/>
      <family val="1"/>
      <charset val="163"/>
    </font>
    <font>
      <b/>
      <sz val="14"/>
      <color indexed="10"/>
      <name val="Times New Roman"/>
      <family val="1"/>
      <charset val="163"/>
    </font>
    <font>
      <sz val="12"/>
      <color indexed="8"/>
      <name val="Times New Roman"/>
      <family val="1"/>
      <charset val="163"/>
    </font>
    <font>
      <sz val="12"/>
      <color indexed="18"/>
      <name val="Times New Roman"/>
      <family val="1"/>
      <charset val="163"/>
    </font>
    <font>
      <b/>
      <sz val="12"/>
      <color indexed="12"/>
      <name val="Times New Roman"/>
      <family val="1"/>
      <charset val="163"/>
    </font>
    <font>
      <b/>
      <sz val="12"/>
      <color indexed="10"/>
      <name val="Times New Roman"/>
      <family val="1"/>
    </font>
    <font>
      <sz val="12"/>
      <color indexed="10"/>
      <name val="Times New Roman"/>
      <family val="1"/>
    </font>
    <font>
      <sz val="12"/>
      <color indexed="12"/>
      <name val="Times New Roman"/>
      <family val="1"/>
    </font>
    <font>
      <b/>
      <sz val="12"/>
      <color indexed="12"/>
      <name val="Times New Roman"/>
      <family val="1"/>
    </font>
    <font>
      <b/>
      <sz val="12"/>
      <color indexed="9"/>
      <name val="Times New Roman"/>
      <family val="1"/>
      <charset val="163"/>
    </font>
    <font>
      <b/>
      <sz val="12"/>
      <color indexed="10"/>
      <name val="Times New Roman"/>
      <family val="1"/>
      <charset val="163"/>
    </font>
    <font>
      <b/>
      <sz val="14"/>
      <color indexed="10"/>
      <name val="Times New Roman"/>
      <family val="1"/>
      <charset val="163"/>
    </font>
    <font>
      <sz val="12"/>
      <color indexed="20"/>
      <name val="Times New Roman"/>
      <family val="1"/>
      <charset val="163"/>
    </font>
    <font>
      <sz val="12"/>
      <color indexed="48"/>
      <name val="Times New Roman"/>
      <family val="1"/>
      <charset val="163"/>
    </font>
    <font>
      <sz val="12"/>
      <color indexed="10"/>
      <name val="Times New Roman"/>
      <family val="1"/>
      <charset val="163"/>
    </font>
    <font>
      <sz val="12"/>
      <color indexed="17"/>
      <name val="Times New Roman"/>
      <family val="1"/>
      <charset val="163"/>
    </font>
    <font>
      <b/>
      <sz val="12"/>
      <color indexed="8"/>
      <name val="Times New Roman"/>
      <family val="1"/>
      <charset val="163"/>
    </font>
    <font>
      <b/>
      <sz val="12"/>
      <color indexed="9"/>
      <name val=".VnTime"/>
      <family val="2"/>
    </font>
    <font>
      <b/>
      <sz val="12"/>
      <color indexed="8"/>
      <name val="Times New Roman"/>
      <family val="1"/>
      <charset val="163"/>
    </font>
    <font>
      <b/>
      <sz val="11"/>
      <color indexed="9"/>
      <name val="Times New Roman"/>
      <family val="1"/>
      <charset val="163"/>
    </font>
    <font>
      <b/>
      <sz val="11"/>
      <color indexed="12"/>
      <name val="Times New Roman"/>
      <family val="1"/>
      <charset val="163"/>
    </font>
    <font>
      <b/>
      <sz val="12"/>
      <color indexed="10"/>
      <name val="Times New Roman"/>
      <family val="1"/>
      <charset val="163"/>
    </font>
    <font>
      <b/>
      <u/>
      <sz val="12"/>
      <name val="Times New Roman"/>
      <family val="1"/>
    </font>
    <font>
      <sz val="12"/>
      <name val="Times New Roman"/>
      <family val="1"/>
    </font>
    <font>
      <b/>
      <sz val="12"/>
      <name val="Times New Roman"/>
      <family val="1"/>
    </font>
    <font>
      <b/>
      <sz val="12"/>
      <color indexed="12"/>
      <name val="Times New Roman"/>
      <family val="1"/>
      <charset val="163"/>
    </font>
    <font>
      <b/>
      <i/>
      <sz val="12"/>
      <color indexed="48"/>
      <name val="Times New Roman"/>
      <family val="1"/>
      <charset val="163"/>
    </font>
    <font>
      <b/>
      <sz val="12"/>
      <color indexed="48"/>
      <name val="Times New Roman"/>
      <family val="1"/>
      <charset val="163"/>
    </font>
    <font>
      <b/>
      <sz val="12"/>
      <color indexed="13"/>
      <name val="Times New Roman"/>
      <family val="1"/>
    </font>
    <font>
      <b/>
      <sz val="12"/>
      <color indexed="9"/>
      <name val="Times New Roman"/>
      <family val="1"/>
    </font>
    <font>
      <sz val="12"/>
      <color indexed="12"/>
      <name val="Times New Roman"/>
      <family val="1"/>
      <charset val="163"/>
    </font>
    <font>
      <sz val="12"/>
      <color indexed="17"/>
      <name val="Times New Roman"/>
      <family val="1"/>
      <charset val="163"/>
    </font>
    <font>
      <sz val="12"/>
      <color indexed="14"/>
      <name val="Times New Roman"/>
      <family val="1"/>
      <charset val="163"/>
    </font>
    <font>
      <sz val="12"/>
      <color indexed="52"/>
      <name val="Times New Roman"/>
      <family val="1"/>
      <charset val="163"/>
    </font>
    <font>
      <b/>
      <sz val="16"/>
      <color indexed="10"/>
      <name val="Times New Roman"/>
      <family val="1"/>
    </font>
    <font>
      <b/>
      <sz val="18"/>
      <color indexed="12"/>
      <name val="Times New Roman"/>
      <family val="1"/>
      <charset val="163"/>
    </font>
    <font>
      <b/>
      <sz val="14"/>
      <color indexed="12"/>
      <name val="Times New Roman"/>
      <family val="1"/>
    </font>
    <font>
      <b/>
      <i/>
      <sz val="12"/>
      <color indexed="10"/>
      <name val="Times New Roman"/>
      <family val="1"/>
    </font>
    <font>
      <b/>
      <sz val="13"/>
      <color indexed="12"/>
      <name val="Times New Roman"/>
      <family val="1"/>
    </font>
    <font>
      <b/>
      <sz val="11"/>
      <color indexed="10"/>
      <name val="Times New Roman"/>
      <family val="1"/>
      <charset val="163"/>
    </font>
    <font>
      <sz val="8"/>
      <name val="Arial"/>
      <family val="2"/>
      <charset val="163"/>
    </font>
    <font>
      <sz val="12"/>
      <name val="Arial"/>
      <family val="2"/>
      <charset val="163"/>
    </font>
    <font>
      <b/>
      <sz val="12"/>
      <color indexed="58"/>
      <name val="Times New Roman"/>
      <family val="1"/>
      <charset val="163"/>
    </font>
    <font>
      <b/>
      <sz val="12"/>
      <color indexed="62"/>
      <name val="Times New Roman"/>
      <family val="1"/>
      <charset val="163"/>
    </font>
    <font>
      <b/>
      <sz val="12"/>
      <color indexed="18"/>
      <name val="Times New Roman"/>
      <family val="1"/>
      <charset val="163"/>
    </font>
    <font>
      <b/>
      <sz val="12"/>
      <color indexed="53"/>
      <name val="Times New Roman"/>
      <family val="1"/>
      <charset val="163"/>
    </font>
    <font>
      <b/>
      <sz val="12"/>
      <color indexed="56"/>
      <name val="Times New Roman"/>
      <family val="1"/>
      <charset val="163"/>
    </font>
    <font>
      <b/>
      <sz val="12"/>
      <color indexed="16"/>
      <name val="Times New Roman"/>
      <family val="1"/>
      <charset val="163"/>
    </font>
    <font>
      <b/>
      <i/>
      <sz val="12"/>
      <color indexed="10"/>
      <name val="Times New Roman"/>
      <family val="1"/>
      <charset val="163"/>
    </font>
    <font>
      <sz val="12"/>
      <color indexed="20"/>
      <name val="Times New Roman"/>
      <family val="1"/>
    </font>
    <font>
      <sz val="12"/>
      <color indexed="58"/>
      <name val="Times New Roman"/>
      <family val="1"/>
    </font>
    <font>
      <b/>
      <sz val="12"/>
      <color indexed="59"/>
      <name val="Times New Roman"/>
      <family val="1"/>
    </font>
    <font>
      <i/>
      <sz val="12"/>
      <color indexed="18"/>
      <name val="Times New Roman"/>
      <family val="1"/>
    </font>
    <font>
      <i/>
      <sz val="12"/>
      <color indexed="12"/>
      <name val="Times New Roman"/>
      <family val="1"/>
    </font>
    <font>
      <i/>
      <sz val="12"/>
      <color indexed="16"/>
      <name val="Times New Roman"/>
      <family val="1"/>
    </font>
    <font>
      <i/>
      <sz val="12"/>
      <color indexed="53"/>
      <name val="Times New Roman"/>
      <family val="1"/>
    </font>
    <font>
      <i/>
      <sz val="12"/>
      <color indexed="17"/>
      <name val="Times New Roman"/>
      <family val="1"/>
    </font>
    <font>
      <b/>
      <sz val="16"/>
      <color indexed="10"/>
      <name val="Times New Roman"/>
      <family val="1"/>
      <charset val="163"/>
    </font>
    <font>
      <sz val="12"/>
      <name val="Times New Roman"/>
      <family val="1"/>
      <charset val="163"/>
    </font>
    <font>
      <b/>
      <i/>
      <u/>
      <sz val="12"/>
      <name val="Times New Roman"/>
      <family val="1"/>
      <charset val="163"/>
    </font>
    <font>
      <sz val="12"/>
      <color indexed="10"/>
      <name val="Times New Roman"/>
      <family val="1"/>
    </font>
    <font>
      <b/>
      <sz val="12"/>
      <color indexed="10"/>
      <name val="Times New Roman"/>
      <family val="1"/>
      <charset val="163"/>
    </font>
    <font>
      <b/>
      <sz val="12"/>
      <name val="Times New Roman"/>
      <family val="1"/>
      <charset val="163"/>
    </font>
    <font>
      <b/>
      <sz val="12"/>
      <color indexed="9"/>
      <name val="Times New Roman"/>
      <family val="1"/>
      <charset val="163"/>
    </font>
    <font>
      <sz val="12"/>
      <color indexed="30"/>
      <name val="Times New Roman"/>
      <family val="1"/>
      <charset val="163"/>
    </font>
    <font>
      <b/>
      <sz val="12"/>
      <color indexed="13"/>
      <name val="Times New Roman"/>
      <family val="1"/>
      <charset val="163"/>
    </font>
    <font>
      <b/>
      <sz val="12"/>
      <color indexed="9"/>
      <name val="Times New Roman"/>
      <family val="1"/>
    </font>
    <font>
      <sz val="12"/>
      <color indexed="12"/>
      <name val="Times New Roman"/>
      <family val="1"/>
      <charset val="163"/>
    </font>
    <font>
      <sz val="11"/>
      <name val="Times New Roman"/>
      <family val="1"/>
      <charset val="163"/>
    </font>
    <font>
      <b/>
      <sz val="12"/>
      <color indexed="12"/>
      <name val="Times New Roman"/>
      <family val="1"/>
    </font>
    <font>
      <b/>
      <sz val="12"/>
      <color indexed="10"/>
      <name val="Times New Roman"/>
      <family val="1"/>
    </font>
    <font>
      <b/>
      <sz val="12"/>
      <color indexed="12"/>
      <name val="Times New Roman"/>
      <family val="1"/>
      <charset val="163"/>
    </font>
    <font>
      <b/>
      <sz val="18"/>
      <color indexed="48"/>
      <name val="Times New Roman"/>
      <family val="1"/>
    </font>
    <font>
      <b/>
      <sz val="16"/>
      <color indexed="10"/>
      <name val="Times New Roman"/>
      <family val="1"/>
    </font>
    <font>
      <b/>
      <sz val="12"/>
      <color indexed="48"/>
      <name val="Times New Roman"/>
      <family val="1"/>
    </font>
    <font>
      <b/>
      <sz val="16"/>
      <color indexed="10"/>
      <name val="Times New Roman"/>
      <family val="1"/>
      <charset val="163"/>
    </font>
    <font>
      <b/>
      <sz val="12"/>
      <color indexed="10"/>
      <name val="Times New Roman"/>
      <family val="1"/>
      <charset val="163"/>
    </font>
    <font>
      <sz val="8"/>
      <name val="Arial"/>
      <family val="2"/>
    </font>
    <font>
      <sz val="11"/>
      <color rgb="FFFF0000"/>
      <name val="Times New Roman"/>
      <family val="1"/>
    </font>
    <font>
      <sz val="12"/>
      <color rgb="FFFF0000"/>
      <name val="Times New Roman"/>
      <family val="1"/>
    </font>
    <font>
      <sz val="10"/>
      <color rgb="FFFF0000"/>
      <name val="Times New Roman"/>
      <family val="1"/>
    </font>
  </fonts>
  <fills count="19">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15"/>
        <bgColor indexed="64"/>
      </patternFill>
    </fill>
    <fill>
      <patternFill patternType="solid">
        <fgColor indexed="11"/>
        <bgColor indexed="64"/>
      </patternFill>
    </fill>
    <fill>
      <patternFill patternType="solid">
        <fgColor indexed="29"/>
        <bgColor indexed="64"/>
      </patternFill>
    </fill>
    <fill>
      <patternFill patternType="solid">
        <fgColor indexed="26"/>
        <bgColor indexed="64"/>
      </patternFill>
    </fill>
    <fill>
      <patternFill patternType="solid">
        <fgColor indexed="27"/>
        <bgColor indexed="64"/>
      </patternFill>
    </fill>
    <fill>
      <patternFill patternType="solid">
        <fgColor indexed="42"/>
        <bgColor indexed="64"/>
      </patternFill>
    </fill>
    <fill>
      <patternFill patternType="solid">
        <fgColor indexed="45"/>
        <bgColor indexed="64"/>
      </patternFill>
    </fill>
    <fill>
      <patternFill patternType="solid">
        <fgColor indexed="12"/>
        <bgColor indexed="64"/>
      </patternFill>
    </fill>
    <fill>
      <patternFill patternType="solid">
        <fgColor indexed="48"/>
        <bgColor indexed="64"/>
      </patternFill>
    </fill>
    <fill>
      <patternFill patternType="solid">
        <fgColor indexed="10"/>
        <bgColor indexed="64"/>
      </patternFill>
    </fill>
    <fill>
      <patternFill patternType="solid">
        <fgColor indexed="44"/>
        <bgColor indexed="64"/>
      </patternFill>
    </fill>
    <fill>
      <patternFill patternType="solid">
        <fgColor indexed="14"/>
        <bgColor indexed="64"/>
      </patternFill>
    </fill>
    <fill>
      <patternFill patternType="solid">
        <fgColor indexed="41"/>
        <bgColor indexed="64"/>
      </patternFill>
    </fill>
    <fill>
      <patternFill patternType="solid">
        <fgColor indexed="40"/>
        <bgColor indexed="64"/>
      </patternFill>
    </fill>
    <fill>
      <patternFill patternType="solid">
        <fgColor indexed="9"/>
        <bgColor indexed="64"/>
      </patternFill>
    </fill>
  </fills>
  <borders count="61">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ashed">
        <color indexed="64"/>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style="double">
        <color indexed="12"/>
      </left>
      <right/>
      <top style="double">
        <color indexed="12"/>
      </top>
      <bottom/>
      <diagonal/>
    </border>
    <border>
      <left/>
      <right/>
      <top style="double">
        <color indexed="12"/>
      </top>
      <bottom/>
      <diagonal/>
    </border>
    <border>
      <left/>
      <right style="double">
        <color indexed="12"/>
      </right>
      <top style="double">
        <color indexed="12"/>
      </top>
      <bottom/>
      <diagonal/>
    </border>
    <border>
      <left style="double">
        <color indexed="12"/>
      </left>
      <right/>
      <top/>
      <bottom/>
      <diagonal/>
    </border>
    <border>
      <left/>
      <right style="double">
        <color indexed="12"/>
      </right>
      <top/>
      <bottom/>
      <diagonal/>
    </border>
    <border>
      <left style="double">
        <color indexed="12"/>
      </left>
      <right/>
      <top/>
      <bottom style="double">
        <color indexed="12"/>
      </bottom>
      <diagonal/>
    </border>
    <border>
      <left/>
      <right/>
      <top/>
      <bottom style="double">
        <color indexed="12"/>
      </bottom>
      <diagonal/>
    </border>
    <border>
      <left/>
      <right style="double">
        <color indexed="12"/>
      </right>
      <top/>
      <bottom style="double">
        <color indexed="12"/>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double">
        <color indexed="64"/>
      </left>
      <right/>
      <top style="double">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style="thin">
        <color indexed="64"/>
      </top>
      <bottom style="double">
        <color indexed="64"/>
      </bottom>
      <diagonal/>
    </border>
    <border>
      <left/>
      <right style="double">
        <color indexed="64"/>
      </right>
      <top/>
      <bottom/>
      <diagonal/>
    </border>
    <border>
      <left style="thin">
        <color indexed="64"/>
      </left>
      <right/>
      <top style="double">
        <color indexed="64"/>
      </top>
      <bottom style="thin">
        <color indexed="64"/>
      </bottom>
      <diagonal/>
    </border>
    <border>
      <left style="double">
        <color indexed="64"/>
      </left>
      <right style="thin">
        <color indexed="64"/>
      </right>
      <top style="thin">
        <color indexed="64"/>
      </top>
      <bottom/>
      <diagonal/>
    </border>
    <border diagonalDown="1">
      <left/>
      <right style="thin">
        <color indexed="64"/>
      </right>
      <top/>
      <bottom style="thin">
        <color indexed="64"/>
      </bottom>
      <diagonal style="thin">
        <color indexed="64"/>
      </diagonal>
    </border>
    <border>
      <left style="thin">
        <color indexed="64"/>
      </left>
      <right/>
      <top style="thin">
        <color indexed="64"/>
      </top>
      <bottom/>
      <diagonal/>
    </border>
    <border>
      <left/>
      <right/>
      <top/>
      <bottom style="thin">
        <color indexed="64"/>
      </bottom>
      <diagonal/>
    </border>
    <border>
      <left/>
      <right style="double">
        <color indexed="64"/>
      </right>
      <top/>
      <bottom style="double">
        <color indexed="64"/>
      </bottom>
      <diagonal/>
    </border>
    <border>
      <left/>
      <right style="thin">
        <color indexed="64"/>
      </right>
      <top style="double">
        <color indexed="64"/>
      </top>
      <bottom/>
      <diagonal/>
    </border>
    <border>
      <left style="double">
        <color indexed="64"/>
      </left>
      <right/>
      <top/>
      <bottom style="thin">
        <color indexed="64"/>
      </bottom>
      <diagonal/>
    </border>
    <border>
      <left style="double">
        <color indexed="64"/>
      </left>
      <right/>
      <top style="thin">
        <color indexed="64"/>
      </top>
      <bottom style="double">
        <color indexed="64"/>
      </bottom>
      <diagonal/>
    </border>
    <border>
      <left style="thin">
        <color indexed="64"/>
      </left>
      <right style="thin">
        <color indexed="64"/>
      </right>
      <top/>
      <bottom style="double">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right/>
      <top style="thin">
        <color indexed="64"/>
      </top>
      <bottom style="double">
        <color indexed="64"/>
      </bottom>
      <diagonal/>
    </border>
    <border>
      <left/>
      <right/>
      <top/>
      <bottom style="double">
        <color indexed="64"/>
      </bottom>
      <diagonal/>
    </border>
    <border>
      <left/>
      <right/>
      <top style="double">
        <color indexed="64"/>
      </top>
      <bottom/>
      <diagonal/>
    </border>
    <border>
      <left/>
      <right style="double">
        <color indexed="64"/>
      </right>
      <top style="double">
        <color indexed="64"/>
      </top>
      <bottom style="thin">
        <color indexed="64"/>
      </bottom>
      <diagonal/>
    </border>
    <border>
      <left/>
      <right style="double">
        <color indexed="64"/>
      </right>
      <top style="thin">
        <color indexed="64"/>
      </top>
      <bottom style="thin">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right/>
      <top style="double">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7" fillId="0" borderId="0" applyNumberFormat="0" applyFill="0" applyBorder="0" applyAlignment="0" applyProtection="0">
      <alignment vertical="top"/>
      <protection locked="0"/>
    </xf>
    <xf numFmtId="0" fontId="21" fillId="0" borderId="0"/>
  </cellStyleXfs>
  <cellXfs count="1222">
    <xf numFmtId="0" fontId="0" fillId="0" borderId="0" xfId="0"/>
    <xf numFmtId="0" fontId="3" fillId="0" borderId="0" xfId="0" applyFont="1"/>
    <xf numFmtId="0" fontId="4" fillId="0" borderId="0" xfId="0" applyFont="1"/>
    <xf numFmtId="0" fontId="4" fillId="0" borderId="0" xfId="0" applyFont="1" applyBorder="1" applyAlignment="1">
      <alignment horizontal="center"/>
    </xf>
    <xf numFmtId="0" fontId="4" fillId="0" borderId="0" xfId="0" applyFont="1" applyAlignment="1">
      <alignment horizontal="left"/>
    </xf>
    <xf numFmtId="0" fontId="4" fillId="0" borderId="0" xfId="0" quotePrefix="1" applyFont="1"/>
    <xf numFmtId="0" fontId="0" fillId="0" borderId="0" xfId="0" applyAlignment="1">
      <alignment horizontal="center"/>
    </xf>
    <xf numFmtId="0" fontId="0" fillId="0" borderId="0" xfId="0" applyBorder="1"/>
    <xf numFmtId="0" fontId="5" fillId="0" borderId="0" xfId="0" applyFont="1" applyBorder="1" applyAlignment="1">
      <alignment horizontal="left"/>
    </xf>
    <xf numFmtId="0" fontId="5" fillId="0" borderId="0" xfId="0" applyFont="1" applyBorder="1"/>
    <xf numFmtId="0" fontId="10" fillId="0" borderId="0" xfId="0" applyFont="1"/>
    <xf numFmtId="0" fontId="12" fillId="0" borderId="0" xfId="0" applyFont="1"/>
    <xf numFmtId="0" fontId="13" fillId="0" borderId="0" xfId="0" quotePrefix="1" applyFont="1"/>
    <xf numFmtId="0" fontId="4" fillId="0" borderId="1" xfId="0" applyFont="1" applyBorder="1" applyAlignment="1">
      <alignment horizontal="center"/>
    </xf>
    <xf numFmtId="0" fontId="4" fillId="0" borderId="1" xfId="0" applyFont="1" applyBorder="1"/>
    <xf numFmtId="0" fontId="6" fillId="0" borderId="0" xfId="0" applyFont="1"/>
    <xf numFmtId="0" fontId="6" fillId="0" borderId="0" xfId="0" applyFont="1" applyBorder="1" applyAlignment="1">
      <alignment horizontal="center" vertical="center"/>
    </xf>
    <xf numFmtId="9" fontId="4" fillId="0" borderId="0" xfId="0" applyNumberFormat="1" applyFont="1"/>
    <xf numFmtId="0" fontId="10" fillId="0" borderId="0" xfId="0" applyNumberFormat="1"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18" fillId="0" borderId="0" xfId="0" applyFont="1" applyAlignment="1">
      <alignment horizontal="center" vertical="center" wrapText="1"/>
    </xf>
    <xf numFmtId="0" fontId="17" fillId="0" borderId="0" xfId="0" applyFont="1" applyAlignment="1">
      <alignment horizontal="center"/>
    </xf>
    <xf numFmtId="0" fontId="16" fillId="0" borderId="0" xfId="0" applyFont="1" applyAlignment="1">
      <alignment horizontal="center"/>
    </xf>
    <xf numFmtId="14" fontId="17" fillId="0" borderId="0" xfId="0" applyNumberFormat="1" applyFont="1"/>
    <xf numFmtId="14" fontId="16" fillId="0" borderId="0" xfId="0" applyNumberFormat="1" applyFont="1"/>
    <xf numFmtId="14" fontId="0" fillId="0" borderId="0" xfId="0" applyNumberFormat="1"/>
    <xf numFmtId="0" fontId="18" fillId="0" borderId="2" xfId="0" applyFont="1" applyBorder="1" applyAlignment="1">
      <alignment horizontal="center"/>
    </xf>
    <xf numFmtId="0" fontId="17" fillId="0" borderId="2" xfId="0" applyFont="1" applyBorder="1" applyAlignment="1">
      <alignment horizontal="center"/>
    </xf>
    <xf numFmtId="0" fontId="17" fillId="0" borderId="2" xfId="0" applyFont="1" applyBorder="1"/>
    <xf numFmtId="0" fontId="17" fillId="0" borderId="0" xfId="0" applyNumberFormat="1" applyFont="1"/>
    <xf numFmtId="194" fontId="17" fillId="0" borderId="2" xfId="0" applyNumberFormat="1" applyFont="1" applyBorder="1" applyAlignment="1">
      <alignment horizontal="center"/>
    </xf>
    <xf numFmtId="194" fontId="18" fillId="0" borderId="2" xfId="0" applyNumberFormat="1" applyFont="1" applyBorder="1" applyAlignment="1">
      <alignment horizontal="center"/>
    </xf>
    <xf numFmtId="0" fontId="17" fillId="0" borderId="2" xfId="0" applyNumberFormat="1" applyFont="1" applyBorder="1" applyAlignment="1">
      <alignment horizontal="center"/>
    </xf>
    <xf numFmtId="0" fontId="17" fillId="0" borderId="2" xfId="0" applyFont="1" applyBorder="1" applyAlignment="1">
      <alignment horizontal="left"/>
    </xf>
    <xf numFmtId="0" fontId="4" fillId="2" borderId="0" xfId="0" applyFont="1" applyFill="1"/>
    <xf numFmtId="0" fontId="4" fillId="2" borderId="0" xfId="0" quotePrefix="1" applyFont="1" applyFill="1"/>
    <xf numFmtId="0" fontId="12" fillId="2" borderId="0" xfId="0" applyFont="1" applyFill="1"/>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4" fillId="4" borderId="4" xfId="0" applyNumberFormat="1" applyFont="1" applyFill="1" applyBorder="1"/>
    <xf numFmtId="0" fontId="4" fillId="4" borderId="4" xfId="0" applyNumberFormat="1" applyFont="1" applyFill="1" applyBorder="1" applyAlignment="1">
      <alignment horizontal="center"/>
    </xf>
    <xf numFmtId="0" fontId="4" fillId="4" borderId="4" xfId="0" applyFont="1" applyFill="1" applyBorder="1" applyAlignment="1">
      <alignment horizontal="center"/>
    </xf>
    <xf numFmtId="0" fontId="4" fillId="4" borderId="8" xfId="0" applyFont="1" applyFill="1" applyBorder="1" applyAlignment="1">
      <alignment horizontal="center"/>
    </xf>
    <xf numFmtId="0" fontId="4" fillId="4" borderId="2" xfId="0" applyNumberFormat="1" applyFont="1" applyFill="1" applyBorder="1"/>
    <xf numFmtId="0" fontId="4" fillId="4" borderId="9" xfId="0" applyNumberFormat="1" applyFont="1" applyFill="1" applyBorder="1"/>
    <xf numFmtId="0" fontId="4" fillId="4" borderId="9" xfId="0" applyNumberFormat="1" applyFont="1" applyFill="1" applyBorder="1" applyAlignment="1">
      <alignment horizontal="center"/>
    </xf>
    <xf numFmtId="0" fontId="4" fillId="4" borderId="9" xfId="0" applyFont="1" applyFill="1" applyBorder="1" applyAlignment="1">
      <alignment horizontal="center"/>
    </xf>
    <xf numFmtId="0" fontId="4" fillId="4" borderId="10" xfId="0" applyFont="1" applyFill="1" applyBorder="1" applyAlignment="1">
      <alignment horizontal="center"/>
    </xf>
    <xf numFmtId="0" fontId="4" fillId="4" borderId="2" xfId="0" applyFont="1" applyFill="1" applyBorder="1" applyAlignment="1">
      <alignment horizontal="center"/>
    </xf>
    <xf numFmtId="0" fontId="4" fillId="5" borderId="11" xfId="0" applyFont="1" applyFill="1" applyBorder="1"/>
    <xf numFmtId="0" fontId="4" fillId="5" borderId="4" xfId="0" applyFont="1" applyFill="1" applyBorder="1"/>
    <xf numFmtId="14" fontId="4" fillId="5" borderId="4" xfId="0" applyNumberFormat="1" applyFont="1" applyFill="1" applyBorder="1"/>
    <xf numFmtId="0" fontId="4" fillId="5" borderId="12" xfId="0" applyFont="1" applyFill="1" applyBorder="1"/>
    <xf numFmtId="0" fontId="4" fillId="5" borderId="2" xfId="0" applyFont="1" applyFill="1" applyBorder="1"/>
    <xf numFmtId="14" fontId="4" fillId="5" borderId="2" xfId="0" applyNumberFormat="1" applyFont="1" applyFill="1" applyBorder="1"/>
    <xf numFmtId="0" fontId="4" fillId="5" borderId="13" xfId="0" applyFont="1" applyFill="1" applyBorder="1"/>
    <xf numFmtId="0" fontId="4" fillId="5" borderId="9" xfId="0" applyFont="1" applyFill="1" applyBorder="1"/>
    <xf numFmtId="14" fontId="4" fillId="5" borderId="9" xfId="0" applyNumberFormat="1" applyFont="1" applyFill="1" applyBorder="1"/>
    <xf numFmtId="0" fontId="4" fillId="5" borderId="2" xfId="0" applyFont="1" applyFill="1" applyBorder="1" applyAlignment="1">
      <alignment horizontal="center"/>
    </xf>
    <xf numFmtId="0" fontId="4" fillId="5" borderId="14" xfId="0" applyFont="1" applyFill="1" applyBorder="1"/>
    <xf numFmtId="0" fontId="4" fillId="5" borderId="10" xfId="0" applyFont="1" applyFill="1" applyBorder="1"/>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2" xfId="0" applyFont="1" applyFill="1" applyBorder="1" applyAlignment="1">
      <alignment horizontal="center"/>
    </xf>
    <xf numFmtId="0" fontId="6" fillId="3" borderId="14" xfId="0" applyFont="1" applyFill="1" applyBorder="1" applyAlignment="1">
      <alignment horizontal="center"/>
    </xf>
    <xf numFmtId="0" fontId="18" fillId="3" borderId="2" xfId="0" applyFont="1" applyFill="1" applyBorder="1" applyAlignment="1">
      <alignment horizontal="center" vertical="center" wrapText="1"/>
    </xf>
    <xf numFmtId="14" fontId="18" fillId="3" borderId="2" xfId="0" applyNumberFormat="1" applyFont="1" applyFill="1" applyBorder="1" applyAlignment="1">
      <alignment horizontal="center" vertical="center" wrapText="1"/>
    </xf>
    <xf numFmtId="0" fontId="17" fillId="5" borderId="2" xfId="0" applyFont="1" applyFill="1" applyBorder="1" applyAlignment="1">
      <alignment horizontal="center"/>
    </xf>
    <xf numFmtId="0" fontId="17" fillId="5" borderId="2" xfId="0" applyFont="1" applyFill="1" applyBorder="1"/>
    <xf numFmtId="0" fontId="17" fillId="5" borderId="2" xfId="0" applyFont="1" applyFill="1" applyBorder="1" applyAlignment="1">
      <alignment horizontal="right"/>
    </xf>
    <xf numFmtId="0" fontId="6" fillId="3" borderId="15" xfId="0"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6" borderId="2" xfId="0" applyFont="1" applyFill="1" applyBorder="1" applyAlignment="1">
      <alignment horizontal="center"/>
    </xf>
    <xf numFmtId="181" fontId="4" fillId="6" borderId="2" xfId="0" applyNumberFormat="1" applyFont="1" applyFill="1" applyBorder="1" applyAlignment="1">
      <alignment horizontal="center"/>
    </xf>
    <xf numFmtId="0" fontId="4" fillId="6" borderId="2" xfId="0" applyFont="1" applyFill="1" applyBorder="1"/>
    <xf numFmtId="0" fontId="4" fillId="6" borderId="2" xfId="0" applyFont="1" applyFill="1" applyBorder="1" applyAlignment="1">
      <alignment horizontal="left"/>
    </xf>
    <xf numFmtId="0" fontId="23" fillId="0" borderId="0" xfId="0" applyFont="1"/>
    <xf numFmtId="208" fontId="23" fillId="0" borderId="0" xfId="1" applyNumberFormat="1" applyFont="1"/>
    <xf numFmtId="0" fontId="23" fillId="0" borderId="0" xfId="0" applyFont="1" applyBorder="1" applyAlignment="1">
      <alignment horizontal="center"/>
    </xf>
    <xf numFmtId="0" fontId="23" fillId="0" borderId="18" xfId="0" applyFont="1" applyBorder="1" applyAlignment="1">
      <alignment horizontal="center"/>
    </xf>
    <xf numFmtId="207" fontId="23" fillId="0" borderId="0" xfId="0" applyNumberFormat="1" applyFont="1" applyBorder="1" applyAlignment="1">
      <alignment horizontal="center"/>
    </xf>
    <xf numFmtId="0" fontId="23" fillId="0" borderId="0" xfId="0" applyFont="1" applyBorder="1"/>
    <xf numFmtId="207" fontId="23" fillId="0" borderId="18" xfId="0" applyNumberFormat="1" applyFont="1" applyBorder="1" applyAlignment="1">
      <alignment horizontal="center"/>
    </xf>
    <xf numFmtId="0" fontId="23" fillId="3" borderId="2" xfId="0" applyFont="1" applyFill="1" applyBorder="1" applyAlignment="1">
      <alignment horizontal="center"/>
    </xf>
    <xf numFmtId="0" fontId="23" fillId="5" borderId="2" xfId="0" applyFont="1" applyFill="1" applyBorder="1" applyAlignment="1">
      <alignment horizontal="center"/>
    </xf>
    <xf numFmtId="0" fontId="23" fillId="5" borderId="2" xfId="0" applyNumberFormat="1" applyFont="1" applyFill="1" applyBorder="1" applyAlignment="1">
      <alignment horizontal="center"/>
    </xf>
    <xf numFmtId="0" fontId="95" fillId="5" borderId="2" xfId="0" applyFont="1" applyFill="1" applyBorder="1" applyAlignment="1">
      <alignment horizontal="center"/>
    </xf>
    <xf numFmtId="0" fontId="23" fillId="3" borderId="19" xfId="0" applyFont="1" applyFill="1" applyBorder="1" applyAlignment="1">
      <alignment horizontal="center"/>
    </xf>
    <xf numFmtId="0" fontId="23" fillId="4" borderId="2" xfId="0" applyFont="1" applyFill="1" applyBorder="1" applyAlignment="1">
      <alignment horizontal="center"/>
    </xf>
    <xf numFmtId="0" fontId="23" fillId="4" borderId="2" xfId="0" applyFont="1" applyFill="1" applyBorder="1"/>
    <xf numFmtId="0" fontId="23" fillId="4" borderId="19" xfId="0" applyFont="1" applyFill="1" applyBorder="1" applyAlignment="1">
      <alignment horizontal="center"/>
    </xf>
    <xf numFmtId="0" fontId="5" fillId="2" borderId="0" xfId="0" applyFont="1" applyFill="1"/>
    <xf numFmtId="0" fontId="4" fillId="5" borderId="2" xfId="0" applyFont="1" applyFill="1" applyBorder="1" applyAlignment="1">
      <alignment horizontal="center" vertical="center"/>
    </xf>
    <xf numFmtId="0" fontId="96" fillId="0" borderId="0" xfId="0" applyFont="1" applyBorder="1"/>
    <xf numFmtId="0" fontId="97" fillId="0" borderId="0" xfId="0" applyFont="1" applyBorder="1"/>
    <xf numFmtId="0" fontId="97" fillId="0" borderId="0" xfId="0" applyFont="1"/>
    <xf numFmtId="0" fontId="98" fillId="3" borderId="5" xfId="0" applyFont="1" applyFill="1" applyBorder="1" applyAlignment="1">
      <alignment horizontal="center" vertical="center" wrapText="1"/>
    </xf>
    <xf numFmtId="0" fontId="98" fillId="3" borderId="6" xfId="0" applyFont="1" applyFill="1" applyBorder="1" applyAlignment="1">
      <alignment horizontal="center" vertical="center" wrapText="1"/>
    </xf>
    <xf numFmtId="0" fontId="98" fillId="3" borderId="7" xfId="0" applyFont="1" applyFill="1" applyBorder="1" applyAlignment="1">
      <alignment horizontal="center" vertical="center" wrapText="1"/>
    </xf>
    <xf numFmtId="0" fontId="97" fillId="5" borderId="12" xfId="0" applyFont="1" applyFill="1" applyBorder="1"/>
    <xf numFmtId="0" fontId="97" fillId="5" borderId="2" xfId="0" applyFont="1" applyFill="1" applyBorder="1"/>
    <xf numFmtId="0" fontId="97" fillId="5" borderId="13" xfId="0" applyFont="1" applyFill="1" applyBorder="1"/>
    <xf numFmtId="0" fontId="97" fillId="5" borderId="9" xfId="0" applyFont="1" applyFill="1" applyBorder="1"/>
    <xf numFmtId="0" fontId="96" fillId="0" borderId="0" xfId="0" applyFont="1"/>
    <xf numFmtId="0" fontId="97" fillId="0" borderId="0" xfId="0" quotePrefix="1" applyFont="1"/>
    <xf numFmtId="0" fontId="98" fillId="0" borderId="0" xfId="0" applyFont="1"/>
    <xf numFmtId="0" fontId="97" fillId="0" borderId="0" xfId="0" applyFont="1" applyFill="1" applyBorder="1" applyAlignment="1">
      <alignment vertical="center"/>
    </xf>
    <xf numFmtId="210" fontId="97" fillId="0" borderId="0" xfId="0" applyNumberFormat="1" applyFont="1"/>
    <xf numFmtId="0" fontId="100" fillId="2" borderId="20" xfId="0" applyFont="1" applyFill="1" applyBorder="1"/>
    <xf numFmtId="0" fontId="101" fillId="2" borderId="21" xfId="0" applyFont="1" applyFill="1" applyBorder="1"/>
    <xf numFmtId="0" fontId="101" fillId="2" borderId="22" xfId="0" applyFont="1" applyFill="1" applyBorder="1"/>
    <xf numFmtId="0" fontId="101" fillId="2" borderId="23" xfId="0" applyFont="1" applyFill="1" applyBorder="1"/>
    <xf numFmtId="0" fontId="101" fillId="2" borderId="0" xfId="0" applyFont="1" applyFill="1" applyBorder="1" applyAlignment="1">
      <alignment horizontal="left" wrapText="1"/>
    </xf>
    <xf numFmtId="0" fontId="101" fillId="2" borderId="0" xfId="0" applyFont="1" applyFill="1" applyBorder="1"/>
    <xf numFmtId="0" fontId="101" fillId="2" borderId="24" xfId="0" applyFont="1" applyFill="1" applyBorder="1"/>
    <xf numFmtId="0" fontId="101" fillId="2" borderId="23" xfId="0" applyFont="1" applyFill="1" applyBorder="1" applyAlignment="1">
      <alignment horizontal="left"/>
    </xf>
    <xf numFmtId="0" fontId="101" fillId="2" borderId="23" xfId="0" applyFont="1" applyFill="1" applyBorder="1" applyAlignment="1">
      <alignment vertical="center"/>
    </xf>
    <xf numFmtId="0" fontId="101" fillId="2" borderId="0" xfId="0" applyFont="1" applyFill="1" applyBorder="1" applyAlignment="1">
      <alignment vertical="center"/>
    </xf>
    <xf numFmtId="0" fontId="97" fillId="0" borderId="0" xfId="0" applyFont="1" applyAlignment="1">
      <alignment horizontal="center"/>
    </xf>
    <xf numFmtId="0" fontId="101" fillId="2" borderId="25" xfId="0" applyFont="1" applyFill="1" applyBorder="1"/>
    <xf numFmtId="0" fontId="101" fillId="2" borderId="26" xfId="0" applyFont="1" applyFill="1" applyBorder="1"/>
    <xf numFmtId="0" fontId="101" fillId="2" borderId="27" xfId="0" applyFont="1" applyFill="1" applyBorder="1"/>
    <xf numFmtId="0" fontId="97" fillId="0" borderId="0" xfId="0" applyFont="1" applyFill="1"/>
    <xf numFmtId="0" fontId="0" fillId="0" borderId="0" xfId="0" applyAlignment="1">
      <alignment horizontal="center" vertical="center"/>
    </xf>
    <xf numFmtId="0" fontId="97" fillId="0" borderId="28" xfId="0" applyFont="1" applyFill="1" applyBorder="1"/>
    <xf numFmtId="0" fontId="97" fillId="5" borderId="0" xfId="0" applyFont="1" applyFill="1"/>
    <xf numFmtId="0" fontId="103" fillId="0" borderId="0" xfId="0" applyFont="1" applyAlignment="1">
      <alignment horizontal="right" vertical="center" wrapText="1"/>
    </xf>
    <xf numFmtId="0" fontId="103" fillId="7" borderId="0" xfId="0" applyFont="1" applyFill="1" applyAlignment="1">
      <alignment horizontal="right" vertical="center" wrapText="1"/>
    </xf>
    <xf numFmtId="0" fontId="103" fillId="8" borderId="0" xfId="0" applyFont="1" applyFill="1" applyAlignment="1">
      <alignment horizontal="right" vertical="center" wrapText="1"/>
    </xf>
    <xf numFmtId="0" fontId="31" fillId="0" borderId="0" xfId="0" applyFont="1"/>
    <xf numFmtId="0" fontId="97" fillId="9" borderId="2" xfId="0" applyFont="1" applyFill="1" applyBorder="1" applyAlignment="1">
      <alignment horizontal="center"/>
    </xf>
    <xf numFmtId="0" fontId="104" fillId="7" borderId="2" xfId="0" applyFont="1" applyFill="1" applyBorder="1" applyAlignment="1"/>
    <xf numFmtId="0" fontId="98" fillId="9" borderId="0" xfId="0" applyFont="1" applyFill="1"/>
    <xf numFmtId="0" fontId="97" fillId="9" borderId="0" xfId="0" applyFont="1" applyFill="1"/>
    <xf numFmtId="0" fontId="101" fillId="10" borderId="2" xfId="0" applyFont="1" applyFill="1" applyBorder="1" applyAlignment="1">
      <alignment horizontal="center"/>
    </xf>
    <xf numFmtId="0" fontId="32" fillId="0" borderId="0" xfId="4" applyFont="1" applyAlignment="1">
      <alignment horizontal="center" vertical="center"/>
    </xf>
    <xf numFmtId="0" fontId="4" fillId="0" borderId="0" xfId="0" applyFont="1" applyAlignment="1">
      <alignment vertical="center"/>
    </xf>
    <xf numFmtId="0" fontId="33" fillId="3" borderId="2" xfId="0" applyFont="1" applyFill="1" applyBorder="1" applyAlignment="1">
      <alignment horizontal="center" vertical="center" wrapText="1"/>
    </xf>
    <xf numFmtId="14" fontId="4" fillId="5" borderId="2" xfId="0" applyNumberFormat="1" applyFont="1" applyFill="1" applyBorder="1" applyAlignment="1">
      <alignment horizontal="center" vertical="center"/>
    </xf>
    <xf numFmtId="21" fontId="4" fillId="5" borderId="2" xfId="0" applyNumberFormat="1" applyFont="1" applyFill="1" applyBorder="1" applyAlignment="1">
      <alignment horizontal="center" vertical="center"/>
    </xf>
    <xf numFmtId="0" fontId="105" fillId="4" borderId="2" xfId="0" applyNumberFormat="1" applyFont="1" applyFill="1" applyBorder="1" applyAlignment="1">
      <alignment vertical="center"/>
    </xf>
    <xf numFmtId="0" fontId="105" fillId="4" borderId="2" xfId="0" applyFont="1" applyFill="1" applyBorder="1" applyAlignment="1">
      <alignment vertical="center"/>
    </xf>
    <xf numFmtId="0" fontId="106" fillId="2" borderId="2" xfId="0" applyNumberFormat="1" applyFont="1" applyFill="1" applyBorder="1" applyAlignment="1">
      <alignment vertical="center"/>
    </xf>
    <xf numFmtId="0" fontId="107" fillId="2" borderId="2" xfId="0" applyFont="1" applyFill="1" applyBorder="1" applyAlignment="1">
      <alignment vertical="center"/>
    </xf>
    <xf numFmtId="0" fontId="26" fillId="0" borderId="0" xfId="0" applyFont="1" applyAlignment="1">
      <alignment horizontal="center" vertical="center"/>
    </xf>
    <xf numFmtId="0" fontId="32" fillId="0" borderId="0" xfId="0" applyNumberFormat="1" applyFont="1" applyAlignment="1">
      <alignment vertical="center"/>
    </xf>
    <xf numFmtId="0" fontId="32" fillId="0" borderId="0" xfId="0" applyFont="1" applyAlignment="1">
      <alignment vertical="center"/>
    </xf>
    <xf numFmtId="3" fontId="32" fillId="0" borderId="0" xfId="0" applyNumberFormat="1" applyFont="1" applyAlignment="1">
      <alignment vertical="center"/>
    </xf>
    <xf numFmtId="21" fontId="4" fillId="0" borderId="0" xfId="0" applyNumberFormat="1" applyFont="1" applyAlignment="1">
      <alignment vertical="center"/>
    </xf>
    <xf numFmtId="0" fontId="4" fillId="0" borderId="0" xfId="0" applyNumberFormat="1" applyFont="1" applyAlignment="1">
      <alignment vertical="center"/>
    </xf>
    <xf numFmtId="0" fontId="34" fillId="3" borderId="2" xfId="0" applyFont="1" applyFill="1" applyBorder="1" applyAlignment="1">
      <alignment horizontal="center" vertical="center"/>
    </xf>
    <xf numFmtId="0" fontId="35" fillId="5" borderId="2" xfId="0" applyFont="1" applyFill="1" applyBorder="1" applyAlignment="1">
      <alignment horizontal="center" vertical="center"/>
    </xf>
    <xf numFmtId="0" fontId="26" fillId="2" borderId="0" xfId="0" applyFont="1" applyFill="1" applyAlignment="1">
      <alignment horizontal="center" vertical="center"/>
    </xf>
    <xf numFmtId="0" fontId="4" fillId="2" borderId="0" xfId="0" applyFont="1" applyFill="1" applyAlignment="1">
      <alignment vertical="center"/>
    </xf>
    <xf numFmtId="0" fontId="36" fillId="2" borderId="0" xfId="0" applyFont="1" applyFill="1" applyAlignment="1">
      <alignment horizontal="center" vertical="center"/>
    </xf>
    <xf numFmtId="0" fontId="4" fillId="2" borderId="0" xfId="0" applyFont="1" applyFill="1" applyAlignment="1">
      <alignment horizontal="center" vertical="center"/>
    </xf>
    <xf numFmtId="0" fontId="6" fillId="2" borderId="0" xfId="0" applyFont="1" applyFill="1" applyAlignment="1">
      <alignment vertical="center"/>
    </xf>
    <xf numFmtId="0" fontId="4" fillId="2" borderId="0" xfId="0" quotePrefix="1" applyFont="1" applyFill="1" applyAlignment="1">
      <alignment vertical="center"/>
    </xf>
    <xf numFmtId="0" fontId="39" fillId="2" borderId="0" xfId="0" applyFont="1" applyFill="1" applyBorder="1" applyAlignment="1">
      <alignment horizontal="center" vertical="center"/>
    </xf>
    <xf numFmtId="0" fontId="46" fillId="3" borderId="2" xfId="0" applyFont="1" applyFill="1" applyBorder="1" applyAlignment="1">
      <alignment horizontal="center" vertical="center" wrapText="1"/>
    </xf>
    <xf numFmtId="3" fontId="105" fillId="4" borderId="2" xfId="0" applyNumberFormat="1" applyFont="1" applyFill="1" applyBorder="1" applyAlignment="1">
      <alignment vertical="center"/>
    </xf>
    <xf numFmtId="0" fontId="47" fillId="5" borderId="2" xfId="0" applyFont="1" applyFill="1" applyBorder="1" applyAlignment="1">
      <alignment horizontal="center" vertical="center"/>
    </xf>
    <xf numFmtId="0" fontId="26" fillId="0" borderId="0" xfId="0" applyFont="1" applyBorder="1" applyAlignment="1">
      <alignment horizontal="center" vertical="center" wrapText="1"/>
    </xf>
    <xf numFmtId="0" fontId="32" fillId="0" borderId="0" xfId="0" applyFont="1" applyBorder="1" applyAlignment="1">
      <alignment horizontal="center" vertical="center"/>
    </xf>
    <xf numFmtId="3" fontId="32" fillId="0" borderId="0" xfId="0" applyNumberFormat="1" applyFont="1" applyBorder="1" applyAlignment="1">
      <alignment horizontal="center" vertical="center"/>
    </xf>
    <xf numFmtId="0" fontId="4" fillId="0" borderId="0" xfId="0" applyFont="1" applyFill="1" applyBorder="1" applyAlignment="1">
      <alignment horizontal="center" vertical="center"/>
    </xf>
    <xf numFmtId="0" fontId="41" fillId="10" borderId="12" xfId="0" applyFont="1" applyFill="1" applyBorder="1" applyAlignment="1">
      <alignment horizontal="center" vertical="center"/>
    </xf>
    <xf numFmtId="0" fontId="41" fillId="10" borderId="2" xfId="0" applyFont="1" applyFill="1" applyBorder="1" applyAlignment="1">
      <alignment horizontal="center" vertical="center"/>
    </xf>
    <xf numFmtId="0" fontId="41" fillId="10" borderId="14" xfId="0" applyFont="1" applyFill="1" applyBorder="1" applyAlignment="1">
      <alignment horizontal="center" vertical="center"/>
    </xf>
    <xf numFmtId="0" fontId="4" fillId="9" borderId="12" xfId="0" applyFont="1" applyFill="1" applyBorder="1" applyAlignment="1">
      <alignment horizontal="center" vertical="center"/>
    </xf>
    <xf numFmtId="14" fontId="4" fillId="9" borderId="2" xfId="0" applyNumberFormat="1" applyFont="1" applyFill="1" applyBorder="1" applyAlignment="1">
      <alignment horizontal="center" vertical="center"/>
    </xf>
    <xf numFmtId="0" fontId="6" fillId="9" borderId="6" xfId="0" applyFont="1" applyFill="1" applyBorder="1" applyAlignment="1">
      <alignment vertical="center"/>
    </xf>
    <xf numFmtId="0" fontId="4" fillId="9" borderId="7" xfId="0" applyFont="1" applyFill="1" applyBorder="1" applyAlignment="1">
      <alignment vertical="center"/>
    </xf>
    <xf numFmtId="0" fontId="18" fillId="9" borderId="9" xfId="0" applyFont="1" applyFill="1" applyBorder="1" applyAlignment="1">
      <alignment vertical="center"/>
    </xf>
    <xf numFmtId="0" fontId="4" fillId="9" borderId="10" xfId="0" applyFont="1" applyFill="1" applyBorder="1" applyAlignment="1">
      <alignment vertical="center"/>
    </xf>
    <xf numFmtId="0" fontId="10" fillId="0" borderId="0" xfId="0" applyFont="1" applyAlignment="1">
      <alignment vertical="center"/>
    </xf>
    <xf numFmtId="0" fontId="49" fillId="2" borderId="0" xfId="0" applyFont="1" applyFill="1" applyAlignment="1">
      <alignment horizontal="center" vertical="center"/>
    </xf>
    <xf numFmtId="0" fontId="10" fillId="2" borderId="0" xfId="0" applyFont="1" applyFill="1" applyAlignment="1">
      <alignment vertical="center"/>
    </xf>
    <xf numFmtId="0" fontId="50" fillId="0" borderId="0" xfId="0" applyFont="1" applyAlignment="1">
      <alignment vertical="center"/>
    </xf>
    <xf numFmtId="0" fontId="51" fillId="2" borderId="0" xfId="0" applyFont="1" applyFill="1" applyAlignment="1">
      <alignment horizontal="center" vertical="center"/>
    </xf>
    <xf numFmtId="0" fontId="13" fillId="2" borderId="0" xfId="0" applyFont="1" applyFill="1" applyAlignment="1">
      <alignment vertical="center"/>
    </xf>
    <xf numFmtId="0" fontId="52" fillId="2" borderId="0" xfId="0" applyFont="1" applyFill="1" applyAlignment="1">
      <alignment horizontal="center" vertical="center"/>
    </xf>
    <xf numFmtId="0" fontId="50" fillId="2" borderId="0" xfId="0" applyFont="1" applyFill="1" applyAlignment="1">
      <alignment vertical="center"/>
    </xf>
    <xf numFmtId="0" fontId="10" fillId="0" borderId="0" xfId="0" applyFont="1" applyBorder="1" applyAlignment="1">
      <alignment vertical="center"/>
    </xf>
    <xf numFmtId="0" fontId="53" fillId="3" borderId="12" xfId="0" applyFont="1" applyFill="1" applyBorder="1" applyAlignment="1">
      <alignment horizontal="center" vertical="center"/>
    </xf>
    <xf numFmtId="0" fontId="53" fillId="3" borderId="2" xfId="0" applyFont="1" applyFill="1" applyBorder="1" applyAlignment="1">
      <alignment horizontal="center" vertical="center"/>
    </xf>
    <xf numFmtId="0" fontId="53" fillId="3" borderId="14" xfId="0" applyFont="1" applyFill="1" applyBorder="1" applyAlignment="1">
      <alignment horizontal="center" vertical="center"/>
    </xf>
    <xf numFmtId="0" fontId="55" fillId="0" borderId="0" xfId="0" applyFont="1" applyBorder="1" applyAlignment="1">
      <alignment horizontal="center" vertical="center"/>
    </xf>
    <xf numFmtId="0" fontId="108" fillId="9" borderId="2" xfId="0" applyFont="1" applyFill="1" applyBorder="1" applyAlignment="1">
      <alignment vertical="center"/>
    </xf>
    <xf numFmtId="0" fontId="108" fillId="9" borderId="14" xfId="0" applyFont="1" applyFill="1" applyBorder="1" applyAlignment="1">
      <alignment vertical="center"/>
    </xf>
    <xf numFmtId="0" fontId="10" fillId="0" borderId="0" xfId="0" applyFont="1" applyBorder="1" applyAlignment="1">
      <alignment horizontal="center" vertical="center"/>
    </xf>
    <xf numFmtId="0" fontId="56" fillId="0" borderId="0" xfId="0" applyFont="1" applyBorder="1" applyAlignment="1">
      <alignment horizontal="center" vertical="center"/>
    </xf>
    <xf numFmtId="0" fontId="4" fillId="0" borderId="0" xfId="0" applyFont="1" applyBorder="1" applyAlignment="1">
      <alignment vertical="center"/>
    </xf>
    <xf numFmtId="0" fontId="26" fillId="0" borderId="0" xfId="0" applyFont="1" applyBorder="1" applyAlignment="1">
      <alignment vertical="center"/>
    </xf>
    <xf numFmtId="0" fontId="53" fillId="0" borderId="0" xfId="0" applyFont="1" applyBorder="1" applyAlignment="1">
      <alignment horizontal="center" vertical="center"/>
    </xf>
    <xf numFmtId="0" fontId="4" fillId="0" borderId="0" xfId="0" applyFont="1" applyBorder="1" applyAlignment="1">
      <alignment horizontal="center" vertical="center"/>
    </xf>
    <xf numFmtId="0" fontId="109" fillId="0" borderId="0" xfId="0" applyFont="1" applyAlignment="1">
      <alignment vertical="center"/>
    </xf>
    <xf numFmtId="0" fontId="32" fillId="0" borderId="0" xfId="0" applyFont="1" applyBorder="1" applyAlignment="1">
      <alignment vertical="center"/>
    </xf>
    <xf numFmtId="0" fontId="41" fillId="0" borderId="0" xfId="0" applyFont="1" applyAlignment="1">
      <alignment vertical="center"/>
    </xf>
    <xf numFmtId="0" fontId="39" fillId="2" borderId="0" xfId="0" applyFont="1" applyFill="1" applyAlignment="1">
      <alignment horizontal="center" vertical="center"/>
    </xf>
    <xf numFmtId="0" fontId="35" fillId="2" borderId="0" xfId="0" applyFont="1" applyFill="1" applyAlignment="1">
      <alignment horizontal="center" vertical="center"/>
    </xf>
    <xf numFmtId="0" fontId="42" fillId="2" borderId="0" xfId="0" quotePrefix="1" applyFont="1" applyFill="1" applyAlignment="1">
      <alignment horizontal="left" vertical="center"/>
    </xf>
    <xf numFmtId="0" fontId="60" fillId="2" borderId="0" xfId="0" quotePrefix="1" applyFont="1" applyFill="1" applyAlignment="1">
      <alignment horizontal="left" vertical="center"/>
    </xf>
    <xf numFmtId="0" fontId="62" fillId="2" borderId="0" xfId="0" quotePrefix="1" applyFont="1" applyFill="1" applyAlignment="1">
      <alignment horizontal="left" vertical="center"/>
    </xf>
    <xf numFmtId="0" fontId="62" fillId="2" borderId="0" xfId="0" applyFont="1" applyFill="1" applyAlignment="1">
      <alignment horizontal="left" vertical="center"/>
    </xf>
    <xf numFmtId="0" fontId="4" fillId="2" borderId="0" xfId="0" applyFont="1" applyFill="1" applyAlignment="1">
      <alignment horizontal="left" vertical="center"/>
    </xf>
    <xf numFmtId="0" fontId="32" fillId="2" borderId="0" xfId="0" applyFont="1" applyFill="1" applyAlignment="1">
      <alignment horizontal="left" vertical="center"/>
    </xf>
    <xf numFmtId="0" fontId="50" fillId="0" borderId="0" xfId="0" applyFont="1" applyAlignment="1">
      <alignment horizontal="center" vertical="center"/>
    </xf>
    <xf numFmtId="0" fontId="26" fillId="3" borderId="2" xfId="0" applyFont="1" applyFill="1" applyBorder="1" applyAlignment="1">
      <alignment horizontal="center" vertical="center" wrapText="1"/>
    </xf>
    <xf numFmtId="180" fontId="105" fillId="9" borderId="2" xfId="0" applyNumberFormat="1" applyFont="1" applyFill="1" applyBorder="1" applyAlignment="1">
      <alignment vertical="center"/>
    </xf>
    <xf numFmtId="1" fontId="105" fillId="9" borderId="2" xfId="0" applyNumberFormat="1" applyFont="1" applyFill="1" applyBorder="1" applyAlignment="1">
      <alignment vertical="center"/>
    </xf>
    <xf numFmtId="1" fontId="105" fillId="9" borderId="2" xfId="0" applyNumberFormat="1" applyFont="1" applyFill="1" applyBorder="1" applyAlignment="1">
      <alignment horizontal="center" vertical="center"/>
    </xf>
    <xf numFmtId="1" fontId="32" fillId="0" borderId="14" xfId="0" applyNumberFormat="1" applyFont="1" applyBorder="1" applyAlignment="1">
      <alignment horizontal="center" vertical="center"/>
    </xf>
    <xf numFmtId="0" fontId="4" fillId="0" borderId="0" xfId="0" applyFont="1" applyAlignment="1">
      <alignment horizontal="center" vertical="center"/>
    </xf>
    <xf numFmtId="180" fontId="105" fillId="9" borderId="9" xfId="0" applyNumberFormat="1" applyFont="1" applyFill="1" applyBorder="1" applyAlignment="1">
      <alignment vertical="center"/>
    </xf>
    <xf numFmtId="1" fontId="105" fillId="9" borderId="9" xfId="0" applyNumberFormat="1" applyFont="1" applyFill="1" applyBorder="1" applyAlignment="1">
      <alignment vertical="center"/>
    </xf>
    <xf numFmtId="1" fontId="105" fillId="9" borderId="9" xfId="0" applyNumberFormat="1" applyFont="1" applyFill="1" applyBorder="1" applyAlignment="1">
      <alignment horizontal="center" vertical="center"/>
    </xf>
    <xf numFmtId="1" fontId="32" fillId="0" borderId="10" xfId="0" applyNumberFormat="1" applyFont="1" applyBorder="1" applyAlignment="1">
      <alignment horizontal="center" vertical="center"/>
    </xf>
    <xf numFmtId="0" fontId="26" fillId="0" borderId="0" xfId="0" applyFont="1" applyFill="1" applyAlignment="1">
      <alignment horizontal="center" vertical="center"/>
    </xf>
    <xf numFmtId="0" fontId="36" fillId="0" borderId="0" xfId="0" applyFont="1" applyFill="1" applyAlignment="1">
      <alignment horizontal="center" vertical="center"/>
    </xf>
    <xf numFmtId="0" fontId="32" fillId="0" borderId="0" xfId="0" applyFont="1" applyFill="1" applyAlignment="1">
      <alignment horizontal="center" vertical="center"/>
    </xf>
    <xf numFmtId="0" fontId="4" fillId="0" borderId="0" xfId="0" applyFont="1" applyFill="1" applyAlignment="1">
      <alignment horizontal="center" vertical="center"/>
    </xf>
    <xf numFmtId="0" fontId="10" fillId="0" borderId="0" xfId="0" applyFont="1" applyAlignment="1">
      <alignment horizontal="center" vertical="center"/>
    </xf>
    <xf numFmtId="0" fontId="96" fillId="0" borderId="0" xfId="0" applyFont="1" applyBorder="1" applyAlignment="1">
      <alignment horizontal="left"/>
    </xf>
    <xf numFmtId="0" fontId="97" fillId="0" borderId="0" xfId="0" applyFont="1" applyBorder="1" applyAlignment="1">
      <alignment horizontal="left"/>
    </xf>
    <xf numFmtId="0" fontId="97" fillId="0" borderId="0" xfId="0" applyFont="1" applyBorder="1" applyAlignment="1">
      <alignment horizontal="center"/>
    </xf>
    <xf numFmtId="0" fontId="97" fillId="0" borderId="0" xfId="0" applyFont="1" applyAlignment="1">
      <alignment horizontal="right"/>
    </xf>
    <xf numFmtId="0" fontId="110" fillId="11" borderId="5" xfId="0" applyFont="1" applyFill="1" applyBorder="1" applyAlignment="1">
      <alignment horizontal="center" vertical="center" wrapText="1"/>
    </xf>
    <xf numFmtId="0" fontId="110" fillId="11" borderId="6" xfId="0" applyFont="1" applyFill="1" applyBorder="1" applyAlignment="1">
      <alignment horizontal="center" vertical="center" wrapText="1"/>
    </xf>
    <xf numFmtId="0" fontId="110" fillId="11" borderId="7" xfId="0" applyFont="1" applyFill="1" applyBorder="1" applyAlignment="1">
      <alignment horizontal="center" vertical="center" wrapText="1"/>
    </xf>
    <xf numFmtId="0" fontId="96" fillId="9" borderId="0" xfId="0" applyFont="1" applyFill="1"/>
    <xf numFmtId="0" fontId="97" fillId="4" borderId="2" xfId="0" applyFont="1" applyFill="1" applyBorder="1" applyAlignment="1">
      <alignment horizontal="center"/>
    </xf>
    <xf numFmtId="0" fontId="97" fillId="4" borderId="14" xfId="0" applyFont="1" applyFill="1" applyBorder="1" applyAlignment="1">
      <alignment horizontal="center"/>
    </xf>
    <xf numFmtId="0" fontId="98" fillId="0" borderId="0" xfId="0" applyFont="1" applyBorder="1" applyAlignment="1">
      <alignment horizontal="left"/>
    </xf>
    <xf numFmtId="0" fontId="98" fillId="0" borderId="0" xfId="0" applyFont="1" applyFill="1" applyBorder="1" applyAlignment="1">
      <alignment horizontal="center" vertical="center" wrapText="1"/>
    </xf>
    <xf numFmtId="0" fontId="97" fillId="0" borderId="0" xfId="0" applyFont="1" applyFill="1" applyBorder="1" applyAlignment="1">
      <alignment horizontal="center"/>
    </xf>
    <xf numFmtId="0" fontId="98" fillId="0" borderId="0" xfId="0" applyFont="1" applyAlignment="1">
      <alignment horizontal="left"/>
    </xf>
    <xf numFmtId="2" fontId="96" fillId="0" borderId="0" xfId="0" applyNumberFormat="1" applyFont="1" applyAlignment="1">
      <alignment horizontal="left" vertical="center"/>
    </xf>
    <xf numFmtId="2" fontId="97" fillId="0" borderId="0" xfId="0" applyNumberFormat="1" applyFont="1" applyAlignment="1">
      <alignment horizontal="left" vertical="center"/>
    </xf>
    <xf numFmtId="0" fontId="97" fillId="0" borderId="0" xfId="0" applyFont="1" applyAlignment="1">
      <alignment horizontal="left" vertical="center"/>
    </xf>
    <xf numFmtId="0" fontId="97" fillId="5" borderId="2" xfId="0" applyFont="1" applyFill="1" applyBorder="1" applyAlignment="1">
      <alignment horizontal="right"/>
    </xf>
    <xf numFmtId="0" fontId="111" fillId="4" borderId="10" xfId="0" applyFont="1" applyFill="1" applyBorder="1" applyAlignment="1">
      <alignment horizontal="center"/>
    </xf>
    <xf numFmtId="0" fontId="111" fillId="4" borderId="9" xfId="0" applyFont="1" applyFill="1" applyBorder="1" applyAlignment="1">
      <alignment horizontal="center"/>
    </xf>
    <xf numFmtId="0" fontId="110" fillId="11" borderId="2" xfId="0" applyFont="1" applyFill="1" applyBorder="1" applyAlignment="1">
      <alignment horizontal="center" vertical="center" wrapText="1"/>
    </xf>
    <xf numFmtId="1" fontId="97" fillId="0" borderId="0" xfId="0" applyNumberFormat="1" applyFont="1"/>
    <xf numFmtId="0" fontId="97" fillId="0" borderId="0" xfId="0" applyFont="1" applyFill="1" applyAlignment="1"/>
    <xf numFmtId="0" fontId="97" fillId="9" borderId="2" xfId="0" applyFont="1" applyFill="1" applyBorder="1"/>
    <xf numFmtId="0" fontId="113" fillId="7" borderId="2" xfId="0" applyFont="1" applyFill="1" applyBorder="1" applyAlignment="1">
      <alignment horizontal="center"/>
    </xf>
    <xf numFmtId="0" fontId="114" fillId="7" borderId="2" xfId="0" applyFont="1" applyFill="1" applyBorder="1" applyAlignment="1">
      <alignment horizontal="center"/>
    </xf>
    <xf numFmtId="0" fontId="115" fillId="7" borderId="2" xfId="0" applyFont="1" applyFill="1" applyBorder="1"/>
    <xf numFmtId="0" fontId="116" fillId="7" borderId="2" xfId="0" applyFont="1" applyFill="1" applyBorder="1"/>
    <xf numFmtId="0" fontId="97" fillId="0" borderId="0" xfId="0" applyFont="1" applyAlignment="1">
      <alignment vertical="center"/>
    </xf>
    <xf numFmtId="0" fontId="97" fillId="4" borderId="2" xfId="0" applyFont="1" applyFill="1" applyBorder="1" applyAlignment="1">
      <alignment vertical="center"/>
    </xf>
    <xf numFmtId="0" fontId="97" fillId="9" borderId="2" xfId="0" applyFont="1" applyFill="1" applyBorder="1" applyAlignment="1">
      <alignment horizontal="center" vertical="center"/>
    </xf>
    <xf numFmtId="0" fontId="103" fillId="0" borderId="0" xfId="0" applyFont="1" applyAlignment="1">
      <alignment horizontal="center" vertical="center" wrapText="1"/>
    </xf>
    <xf numFmtId="0" fontId="17" fillId="0" borderId="0" xfId="0" applyFont="1" applyAlignment="1">
      <alignment horizontal="justify" vertical="center"/>
    </xf>
    <xf numFmtId="0" fontId="117" fillId="8" borderId="0" xfId="0" applyFont="1" applyFill="1" applyAlignment="1">
      <alignment horizontal="left" vertical="center"/>
    </xf>
    <xf numFmtId="0" fontId="3" fillId="8" borderId="0" xfId="0" applyFont="1" applyFill="1"/>
    <xf numFmtId="0" fontId="103" fillId="8" borderId="0" xfId="0" applyFont="1" applyFill="1" applyAlignment="1">
      <alignment horizontal="left" vertical="center"/>
    </xf>
    <xf numFmtId="0" fontId="117" fillId="9" borderId="2" xfId="0" applyFont="1" applyFill="1" applyBorder="1" applyAlignment="1">
      <alignment horizontal="center" vertical="center" wrapText="1"/>
    </xf>
    <xf numFmtId="14" fontId="18" fillId="9" borderId="2" xfId="0" applyNumberFormat="1" applyFont="1" applyFill="1" applyBorder="1" applyAlignment="1">
      <alignment horizontal="center"/>
    </xf>
    <xf numFmtId="0" fontId="30" fillId="7" borderId="2" xfId="0" applyFont="1" applyFill="1" applyBorder="1" applyAlignment="1">
      <alignment horizontal="center"/>
    </xf>
    <xf numFmtId="0" fontId="118" fillId="11" borderId="2" xfId="0" applyFont="1" applyFill="1" applyBorder="1" applyAlignment="1">
      <alignment horizontal="center" vertical="center" wrapText="1"/>
    </xf>
    <xf numFmtId="207" fontId="23" fillId="5" borderId="2" xfId="0" applyNumberFormat="1" applyFont="1" applyFill="1" applyBorder="1" applyAlignment="1">
      <alignment horizontal="center"/>
    </xf>
    <xf numFmtId="0" fontId="118" fillId="11" borderId="2" xfId="0" applyFont="1" applyFill="1" applyBorder="1"/>
    <xf numFmtId="0" fontId="97" fillId="8" borderId="0" xfId="0" applyFont="1" applyFill="1" applyAlignment="1">
      <alignment vertical="center"/>
    </xf>
    <xf numFmtId="0" fontId="97" fillId="8" borderId="0" xfId="0" applyFont="1" applyFill="1" applyBorder="1"/>
    <xf numFmtId="0" fontId="98" fillId="3" borderId="2" xfId="0" applyFont="1" applyFill="1" applyBorder="1" applyAlignment="1">
      <alignment horizontal="center" vertical="center"/>
    </xf>
    <xf numFmtId="0" fontId="98" fillId="3" borderId="2" xfId="0" applyFont="1" applyFill="1" applyBorder="1" applyAlignment="1">
      <alignment horizontal="center" vertical="center" wrapText="1"/>
    </xf>
    <xf numFmtId="0" fontId="97" fillId="10" borderId="2" xfId="0" applyFont="1" applyFill="1" applyBorder="1"/>
    <xf numFmtId="14" fontId="97" fillId="10" borderId="2" xfId="0" applyNumberFormat="1" applyFont="1" applyFill="1" applyBorder="1"/>
    <xf numFmtId="180" fontId="97" fillId="10" borderId="2" xfId="0" applyNumberFormat="1" applyFont="1" applyFill="1" applyBorder="1"/>
    <xf numFmtId="180" fontId="97" fillId="3" borderId="2" xfId="0" applyNumberFormat="1" applyFont="1" applyFill="1" applyBorder="1" applyAlignment="1">
      <alignment horizontal="center"/>
    </xf>
    <xf numFmtId="0" fontId="97" fillId="3" borderId="2" xfId="0" applyFont="1" applyFill="1" applyBorder="1"/>
    <xf numFmtId="0" fontId="98" fillId="10" borderId="2" xfId="0" applyFont="1" applyFill="1" applyBorder="1" applyAlignment="1">
      <alignment horizontal="center" vertical="center" wrapText="1"/>
    </xf>
    <xf numFmtId="0" fontId="97" fillId="3" borderId="2" xfId="0" applyFont="1" applyFill="1" applyBorder="1" applyAlignment="1">
      <alignment horizontal="center" vertical="center"/>
    </xf>
    <xf numFmtId="0" fontId="98" fillId="5" borderId="3" xfId="0" applyFont="1" applyFill="1" applyBorder="1" applyAlignment="1">
      <alignment horizontal="center"/>
    </xf>
    <xf numFmtId="0" fontId="97" fillId="5" borderId="4" xfId="0" applyFont="1" applyFill="1" applyBorder="1"/>
    <xf numFmtId="0" fontId="97" fillId="0" borderId="0" xfId="0" applyFont="1" applyFill="1" applyBorder="1" applyAlignment="1">
      <alignment horizontal="center" wrapText="1"/>
    </xf>
    <xf numFmtId="0" fontId="67" fillId="2" borderId="0" xfId="0" applyFont="1" applyFill="1"/>
    <xf numFmtId="0" fontId="0" fillId="2" borderId="0" xfId="0" applyFill="1"/>
    <xf numFmtId="0" fontId="68" fillId="2" borderId="0" xfId="0" applyFont="1" applyFill="1" applyAlignment="1">
      <alignment horizontal="left" indent="6"/>
    </xf>
    <xf numFmtId="0" fontId="44" fillId="0" borderId="0" xfId="0" applyFont="1" applyAlignment="1">
      <alignment horizontal="center" vertical="center" wrapText="1"/>
    </xf>
    <xf numFmtId="0" fontId="110" fillId="11" borderId="5" xfId="0" applyFont="1" applyFill="1" applyBorder="1" applyAlignment="1">
      <alignment horizontal="center" vertical="center"/>
    </xf>
    <xf numFmtId="0" fontId="110" fillId="11" borderId="6" xfId="0" applyFont="1" applyFill="1" applyBorder="1" applyAlignment="1">
      <alignment horizontal="center" vertical="center"/>
    </xf>
    <xf numFmtId="0" fontId="110" fillId="11" borderId="7" xfId="0" applyFont="1" applyFill="1" applyBorder="1" applyAlignment="1">
      <alignment horizontal="center" vertical="center"/>
    </xf>
    <xf numFmtId="0" fontId="97" fillId="5" borderId="2" xfId="0" applyFont="1" applyFill="1" applyBorder="1" applyAlignment="1">
      <alignment horizontal="center" vertical="center"/>
    </xf>
    <xf numFmtId="0" fontId="110" fillId="12" borderId="5" xfId="0" applyFont="1" applyFill="1" applyBorder="1" applyAlignment="1">
      <alignment horizontal="center" vertical="center"/>
    </xf>
    <xf numFmtId="0" fontId="110" fillId="12" borderId="7" xfId="0" applyFont="1" applyFill="1" applyBorder="1" applyAlignment="1">
      <alignment horizontal="center" vertical="center"/>
    </xf>
    <xf numFmtId="9" fontId="97" fillId="5" borderId="14" xfId="0" applyNumberFormat="1" applyFont="1" applyFill="1" applyBorder="1"/>
    <xf numFmtId="0" fontId="111" fillId="5" borderId="2" xfId="0" applyFont="1" applyFill="1" applyBorder="1" applyAlignment="1"/>
    <xf numFmtId="0" fontId="111" fillId="5" borderId="2" xfId="0" applyFont="1" applyFill="1" applyBorder="1" applyAlignment="1">
      <alignment horizontal="center" vertical="center"/>
    </xf>
    <xf numFmtId="9" fontId="97" fillId="5" borderId="10" xfId="0" applyNumberFormat="1" applyFont="1" applyFill="1" applyBorder="1"/>
    <xf numFmtId="0" fontId="110" fillId="12" borderId="6" xfId="0" applyFont="1" applyFill="1" applyBorder="1" applyAlignment="1">
      <alignment horizontal="center" vertical="center"/>
    </xf>
    <xf numFmtId="0" fontId="97" fillId="5" borderId="29" xfId="0" applyFont="1" applyFill="1" applyBorder="1"/>
    <xf numFmtId="0" fontId="97" fillId="0" borderId="0" xfId="0" applyFont="1" applyFill="1" applyBorder="1"/>
    <xf numFmtId="0" fontId="100" fillId="0" borderId="0" xfId="0" applyFont="1" applyFill="1" applyBorder="1"/>
    <xf numFmtId="0" fontId="111" fillId="5" borderId="9" xfId="0" applyFont="1" applyFill="1" applyBorder="1" applyAlignment="1"/>
    <xf numFmtId="0" fontId="111" fillId="5" borderId="9" xfId="0" applyFont="1" applyFill="1" applyBorder="1" applyAlignment="1">
      <alignment horizontal="center" vertical="center"/>
    </xf>
    <xf numFmtId="0" fontId="97" fillId="0" borderId="0" xfId="0" applyFont="1" applyAlignment="1">
      <alignment horizontal="center" vertical="center"/>
    </xf>
    <xf numFmtId="0" fontId="98" fillId="10" borderId="0" xfId="0" applyFont="1" applyFill="1" applyBorder="1"/>
    <xf numFmtId="0" fontId="97" fillId="10" borderId="0" xfId="0" applyFont="1" applyFill="1" applyBorder="1"/>
    <xf numFmtId="0" fontId="98" fillId="10" borderId="0" xfId="0" applyFont="1" applyFill="1" applyBorder="1" applyAlignment="1">
      <alignment horizontal="center" vertical="center"/>
    </xf>
    <xf numFmtId="3" fontId="100" fillId="10" borderId="0" xfId="0" applyNumberFormat="1" applyFont="1" applyFill="1" applyBorder="1"/>
    <xf numFmtId="0" fontId="97" fillId="10" borderId="0" xfId="0" applyFont="1" applyFill="1"/>
    <xf numFmtId="0" fontId="100" fillId="10" borderId="0" xfId="0" applyFont="1" applyFill="1" applyBorder="1"/>
    <xf numFmtId="0" fontId="97" fillId="10" borderId="0" xfId="0" applyFont="1" applyFill="1" applyAlignment="1">
      <alignment horizontal="left" vertical="center"/>
    </xf>
    <xf numFmtId="0" fontId="97" fillId="10" borderId="0" xfId="0" quotePrefix="1" applyFont="1" applyFill="1" applyAlignment="1">
      <alignment horizontal="left" vertical="center"/>
    </xf>
    <xf numFmtId="0" fontId="97" fillId="10" borderId="0" xfId="0" applyFont="1" applyFill="1" applyAlignment="1">
      <alignment horizontal="center" vertical="center"/>
    </xf>
    <xf numFmtId="0" fontId="111" fillId="5" borderId="12" xfId="0" applyFont="1" applyFill="1" applyBorder="1" applyAlignment="1"/>
    <xf numFmtId="0" fontId="111" fillId="5" borderId="13" xfId="0" applyFont="1" applyFill="1" applyBorder="1" applyAlignment="1"/>
    <xf numFmtId="0" fontId="119" fillId="0" borderId="0" xfId="0" applyFont="1" applyBorder="1" applyAlignment="1"/>
    <xf numFmtId="0" fontId="4" fillId="0" borderId="0" xfId="4" applyFont="1" applyAlignment="1">
      <alignment vertical="center"/>
    </xf>
    <xf numFmtId="0" fontId="39" fillId="0" borderId="0" xfId="4" applyFont="1" applyAlignment="1">
      <alignment vertical="center"/>
    </xf>
    <xf numFmtId="0" fontId="26" fillId="0" borderId="2" xfId="4" applyFont="1" applyBorder="1" applyAlignment="1">
      <alignment horizontal="center" vertical="center"/>
    </xf>
    <xf numFmtId="14" fontId="4" fillId="0" borderId="2" xfId="4" applyNumberFormat="1" applyFont="1" applyBorder="1" applyAlignment="1">
      <alignment horizontal="center" vertical="center"/>
    </xf>
    <xf numFmtId="0" fontId="4" fillId="0" borderId="2" xfId="4" applyFont="1" applyBorder="1" applyAlignment="1">
      <alignment horizontal="center" vertical="center"/>
    </xf>
    <xf numFmtId="0" fontId="4" fillId="0" borderId="2" xfId="4" applyFont="1" applyBorder="1" applyAlignment="1">
      <alignment horizontal="right" vertical="center"/>
    </xf>
    <xf numFmtId="0" fontId="41" fillId="0" borderId="0" xfId="4" applyFont="1" applyAlignment="1">
      <alignment horizontal="center" vertical="center"/>
    </xf>
    <xf numFmtId="0" fontId="32" fillId="0" borderId="0" xfId="4" applyFont="1" applyAlignment="1">
      <alignment vertical="center"/>
    </xf>
    <xf numFmtId="0" fontId="4" fillId="0" borderId="0" xfId="4" applyFont="1" applyFill="1" applyAlignment="1">
      <alignment vertical="center"/>
    </xf>
    <xf numFmtId="0" fontId="26" fillId="0" borderId="0" xfId="4" applyFont="1" applyFill="1" applyAlignment="1">
      <alignment vertical="center"/>
    </xf>
    <xf numFmtId="0" fontId="36" fillId="0" borderId="0" xfId="4" applyFont="1" applyFill="1" applyAlignment="1">
      <alignment vertical="center"/>
    </xf>
    <xf numFmtId="0" fontId="26" fillId="0" borderId="0" xfId="4" applyFont="1" applyAlignment="1">
      <alignment horizontal="center" vertical="center"/>
    </xf>
    <xf numFmtId="0" fontId="57" fillId="0" borderId="0" xfId="4" applyFont="1" applyAlignment="1">
      <alignment horizontal="center" vertical="center" wrapText="1"/>
    </xf>
    <xf numFmtId="0" fontId="36" fillId="0" borderId="0" xfId="0" applyFont="1" applyAlignment="1">
      <alignment horizontal="center" vertical="center"/>
    </xf>
    <xf numFmtId="0" fontId="72" fillId="0" borderId="0" xfId="4" applyFont="1" applyAlignment="1">
      <alignment horizontal="center" vertical="center"/>
    </xf>
    <xf numFmtId="0" fontId="4" fillId="0" borderId="0" xfId="4" applyFont="1" applyAlignment="1">
      <alignment horizontal="center" vertical="center"/>
    </xf>
    <xf numFmtId="0" fontId="71" fillId="0" borderId="0" xfId="4" applyFont="1" applyAlignment="1">
      <alignment vertical="center"/>
    </xf>
    <xf numFmtId="10" fontId="72" fillId="0" borderId="0" xfId="4" applyNumberFormat="1" applyFont="1" applyAlignment="1">
      <alignment horizontal="center" vertical="center"/>
    </xf>
    <xf numFmtId="10" fontId="4" fillId="0" borderId="0" xfId="4" applyNumberFormat="1" applyFont="1" applyAlignment="1">
      <alignment horizontal="center" vertical="center"/>
    </xf>
    <xf numFmtId="10" fontId="71" fillId="0" borderId="0" xfId="4" applyNumberFormat="1" applyFont="1" applyAlignment="1">
      <alignment vertical="center"/>
    </xf>
    <xf numFmtId="0" fontId="72" fillId="0" borderId="0" xfId="4" applyFont="1" applyFill="1" applyAlignment="1">
      <alignment horizontal="center" vertical="center"/>
    </xf>
    <xf numFmtId="0" fontId="4" fillId="0" borderId="0" xfId="4" applyFont="1" applyFill="1" applyAlignment="1">
      <alignment horizontal="center" vertical="center"/>
    </xf>
    <xf numFmtId="0" fontId="71" fillId="0" borderId="0" xfId="4" applyFont="1" applyFill="1" applyAlignment="1">
      <alignment vertical="center"/>
    </xf>
    <xf numFmtId="0" fontId="26" fillId="0" borderId="0" xfId="4" applyFont="1" applyBorder="1" applyAlignment="1">
      <alignment horizontal="center" vertical="center"/>
    </xf>
    <xf numFmtId="0" fontId="65" fillId="0" borderId="0" xfId="4" applyFont="1" applyBorder="1" applyAlignment="1">
      <alignment horizontal="center" vertical="center"/>
    </xf>
    <xf numFmtId="0" fontId="65" fillId="0" borderId="0" xfId="4" applyFont="1" applyBorder="1" applyAlignment="1">
      <alignment vertical="center"/>
    </xf>
    <xf numFmtId="0" fontId="72" fillId="0" borderId="0" xfId="4" applyFont="1" applyFill="1" applyAlignment="1">
      <alignment vertical="center"/>
    </xf>
    <xf numFmtId="0" fontId="38" fillId="0" borderId="0" xfId="4" applyFont="1" applyFill="1" applyAlignment="1">
      <alignment vertical="center"/>
    </xf>
    <xf numFmtId="0" fontId="65" fillId="0" borderId="0" xfId="4" applyFont="1" applyFill="1" applyBorder="1" applyAlignment="1">
      <alignment horizontal="center" vertical="center"/>
    </xf>
    <xf numFmtId="0" fontId="4" fillId="0" borderId="0" xfId="4" applyFont="1" applyFill="1" applyBorder="1" applyAlignment="1">
      <alignment vertical="center"/>
    </xf>
    <xf numFmtId="0" fontId="4" fillId="0" borderId="0" xfId="4" applyFont="1" applyFill="1" applyBorder="1" applyAlignment="1">
      <alignment horizontal="center" vertical="center"/>
    </xf>
    <xf numFmtId="0" fontId="4" fillId="0" borderId="0" xfId="4" applyFont="1" applyBorder="1" applyAlignment="1">
      <alignment horizontal="center" vertical="center"/>
    </xf>
    <xf numFmtId="0" fontId="4" fillId="0" borderId="0" xfId="4" applyFont="1" applyBorder="1" applyAlignment="1">
      <alignment vertical="center"/>
    </xf>
    <xf numFmtId="0" fontId="26" fillId="0" borderId="0" xfId="4" applyFont="1" applyFill="1" applyBorder="1" applyAlignment="1">
      <alignment horizontal="center" vertical="center"/>
    </xf>
    <xf numFmtId="0" fontId="4" fillId="0" borderId="2" xfId="4" applyFont="1" applyBorder="1" applyAlignment="1">
      <alignment vertical="center"/>
    </xf>
    <xf numFmtId="0" fontId="4" fillId="0" borderId="0" xfId="4" applyNumberFormat="1" applyFont="1" applyAlignment="1">
      <alignment vertical="center"/>
    </xf>
    <xf numFmtId="0" fontId="106" fillId="5" borderId="9" xfId="0" applyFont="1" applyFill="1" applyBorder="1" applyAlignment="1">
      <alignment horizontal="center" vertical="center"/>
    </xf>
    <xf numFmtId="0" fontId="106" fillId="5" borderId="10" xfId="0" applyFont="1" applyFill="1" applyBorder="1" applyAlignment="1">
      <alignment horizontal="center" vertical="center"/>
    </xf>
    <xf numFmtId="0" fontId="120" fillId="11" borderId="2" xfId="0" applyFont="1" applyFill="1" applyBorder="1" applyAlignment="1">
      <alignment horizontal="center" vertical="center" wrapText="1"/>
    </xf>
    <xf numFmtId="0" fontId="120" fillId="11" borderId="2" xfId="0" applyFont="1" applyFill="1" applyBorder="1" applyAlignment="1">
      <alignment horizontal="center" vertical="center"/>
    </xf>
    <xf numFmtId="0" fontId="10" fillId="2" borderId="0" xfId="0" applyFont="1" applyFill="1"/>
    <xf numFmtId="0" fontId="10" fillId="4" borderId="2" xfId="0" applyFont="1" applyFill="1" applyBorder="1"/>
    <xf numFmtId="189" fontId="10" fillId="4" borderId="2" xfId="0" applyNumberFormat="1" applyFont="1" applyFill="1" applyBorder="1"/>
    <xf numFmtId="0" fontId="121" fillId="5" borderId="2" xfId="0" applyFont="1" applyFill="1" applyBorder="1"/>
    <xf numFmtId="0" fontId="121" fillId="3" borderId="2" xfId="0" applyFont="1" applyFill="1" applyBorder="1"/>
    <xf numFmtId="0" fontId="121" fillId="13" borderId="2" xfId="0" applyFont="1" applyFill="1" applyBorder="1"/>
    <xf numFmtId="0" fontId="121" fillId="14" borderId="2" xfId="0" applyFont="1" applyFill="1" applyBorder="1"/>
    <xf numFmtId="14" fontId="10" fillId="4" borderId="2" xfId="0" applyNumberFormat="1" applyFont="1" applyFill="1" applyBorder="1"/>
    <xf numFmtId="0" fontId="10" fillId="0" borderId="0" xfId="0" applyFont="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xf numFmtId="189" fontId="10" fillId="0" borderId="2" xfId="0" applyNumberFormat="1" applyFont="1" applyBorder="1"/>
    <xf numFmtId="14" fontId="10" fillId="0" borderId="2" xfId="0" applyNumberFormat="1" applyFont="1" applyBorder="1"/>
    <xf numFmtId="0" fontId="73" fillId="0" borderId="0" xfId="0" applyFont="1" applyAlignment="1">
      <alignment vertical="center"/>
    </xf>
    <xf numFmtId="0" fontId="72" fillId="8" borderId="2" xfId="0" applyFont="1" applyFill="1" applyBorder="1" applyAlignment="1">
      <alignment horizontal="center" vertical="center"/>
    </xf>
    <xf numFmtId="0" fontId="35" fillId="8" borderId="2" xfId="0" applyFont="1" applyFill="1" applyBorder="1" applyAlignment="1">
      <alignment horizontal="center" vertical="center"/>
    </xf>
    <xf numFmtId="0" fontId="4" fillId="8" borderId="2" xfId="0" applyFont="1" applyFill="1" applyBorder="1" applyAlignment="1">
      <alignment horizontal="center" vertical="center"/>
    </xf>
    <xf numFmtId="0" fontId="39" fillId="0" borderId="2" xfId="0" applyFont="1" applyBorder="1" applyAlignment="1">
      <alignment horizontal="center" vertical="center"/>
    </xf>
    <xf numFmtId="0" fontId="32" fillId="0" borderId="2" xfId="0" applyFont="1" applyBorder="1" applyAlignment="1">
      <alignment horizontal="center" vertical="center"/>
    </xf>
    <xf numFmtId="0" fontId="79" fillId="0" borderId="0" xfId="0" applyFont="1" applyAlignment="1">
      <alignment vertical="center"/>
    </xf>
    <xf numFmtId="0" fontId="32" fillId="4" borderId="2" xfId="0" applyFont="1" applyFill="1" applyBorder="1" applyAlignment="1">
      <alignment horizontal="center" vertical="center"/>
    </xf>
    <xf numFmtId="0" fontId="38" fillId="8" borderId="2" xfId="0" applyFont="1" applyFill="1" applyBorder="1" applyAlignment="1">
      <alignment horizontal="center" vertical="center"/>
    </xf>
    <xf numFmtId="0" fontId="4" fillId="5" borderId="2" xfId="0" applyFont="1" applyFill="1" applyBorder="1" applyAlignment="1">
      <alignment vertical="center"/>
    </xf>
    <xf numFmtId="0" fontId="38" fillId="8" borderId="2" xfId="0" applyFont="1" applyFill="1" applyBorder="1" applyAlignment="1">
      <alignment vertical="center"/>
    </xf>
    <xf numFmtId="3" fontId="4" fillId="5" borderId="2" xfId="0" applyNumberFormat="1" applyFont="1" applyFill="1" applyBorder="1" applyAlignment="1">
      <alignment vertical="center"/>
    </xf>
    <xf numFmtId="0" fontId="122" fillId="0" borderId="0" xfId="0" applyFont="1" applyAlignment="1">
      <alignment horizontal="center" vertical="center"/>
    </xf>
    <xf numFmtId="3" fontId="122" fillId="0" borderId="0" xfId="0" applyNumberFormat="1" applyFont="1" applyAlignment="1">
      <alignment horizontal="center" vertical="center"/>
    </xf>
    <xf numFmtId="0" fontId="32" fillId="0" borderId="0" xfId="0" applyFont="1" applyAlignment="1">
      <alignment horizontal="center" vertical="center"/>
    </xf>
    <xf numFmtId="3" fontId="36" fillId="0" borderId="0" xfId="0" applyNumberFormat="1" applyFont="1" applyAlignment="1">
      <alignment horizontal="center" vertical="center"/>
    </xf>
    <xf numFmtId="0" fontId="43" fillId="4" borderId="2" xfId="0" applyFont="1" applyFill="1" applyBorder="1" applyAlignment="1">
      <alignment horizontal="center" vertical="center"/>
    </xf>
    <xf numFmtId="0" fontId="4" fillId="4" borderId="2" xfId="0" applyFont="1" applyFill="1" applyBorder="1" applyAlignment="1">
      <alignment horizontal="center" vertical="center"/>
    </xf>
    <xf numFmtId="0" fontId="43" fillId="8" borderId="2" xfId="0" applyFont="1" applyFill="1" applyBorder="1" applyAlignment="1">
      <alignment horizontal="center" vertical="center"/>
    </xf>
    <xf numFmtId="0" fontId="71" fillId="8" borderId="2" xfId="0" applyFont="1" applyFill="1" applyBorder="1" applyAlignment="1">
      <alignment horizontal="center" vertical="center"/>
    </xf>
    <xf numFmtId="0" fontId="43" fillId="0" borderId="0" xfId="0" applyFont="1" applyFill="1" applyBorder="1" applyAlignment="1">
      <alignment horizontal="center" vertical="center"/>
    </xf>
    <xf numFmtId="0" fontId="71" fillId="0" borderId="0" xfId="0" applyFont="1" applyFill="1" applyBorder="1" applyAlignment="1">
      <alignment horizontal="center" vertical="center"/>
    </xf>
    <xf numFmtId="0" fontId="43" fillId="0" borderId="0" xfId="0" applyFont="1" applyAlignment="1">
      <alignment vertical="center"/>
    </xf>
    <xf numFmtId="0" fontId="32" fillId="0" borderId="0" xfId="0" applyFont="1" applyFill="1" applyBorder="1" applyAlignment="1">
      <alignment horizontal="center" vertical="center" wrapText="1"/>
    </xf>
    <xf numFmtId="0" fontId="40" fillId="4" borderId="2" xfId="0" applyFont="1" applyFill="1" applyBorder="1" applyAlignment="1">
      <alignment horizontal="center" vertical="center"/>
    </xf>
    <xf numFmtId="0" fontId="6" fillId="5" borderId="2" xfId="0" applyFont="1" applyFill="1" applyBorder="1" applyAlignment="1">
      <alignment horizontal="center" vertical="center"/>
    </xf>
    <xf numFmtId="3" fontId="26" fillId="0" borderId="0" xfId="0" applyNumberFormat="1" applyFont="1" applyBorder="1" applyAlignment="1">
      <alignment horizontal="center" vertical="center"/>
    </xf>
    <xf numFmtId="0" fontId="47" fillId="0" borderId="0" xfId="0" applyFont="1" applyAlignment="1">
      <alignment horizontal="center" vertical="center"/>
    </xf>
    <xf numFmtId="0" fontId="41" fillId="2" borderId="0" xfId="0" applyFont="1" applyFill="1" applyAlignment="1">
      <alignment horizontal="center" vertical="center"/>
    </xf>
    <xf numFmtId="0" fontId="33" fillId="2" borderId="0" xfId="0" applyFont="1" applyFill="1" applyAlignment="1">
      <alignment vertical="center"/>
    </xf>
    <xf numFmtId="0" fontId="36" fillId="0" borderId="0" xfId="0" applyFont="1" applyAlignment="1">
      <alignment vertical="center"/>
    </xf>
    <xf numFmtId="0" fontId="4" fillId="9" borderId="9" xfId="0" applyFont="1" applyFill="1" applyBorder="1" applyAlignment="1">
      <alignment horizontal="center" vertical="center"/>
    </xf>
    <xf numFmtId="0" fontId="18" fillId="3" borderId="5" xfId="0" applyFont="1" applyFill="1" applyBorder="1" applyAlignment="1">
      <alignment horizontal="center" vertical="center" wrapText="1"/>
    </xf>
    <xf numFmtId="0" fontId="6" fillId="4" borderId="30" xfId="0" applyFont="1" applyFill="1" applyBorder="1" applyAlignment="1">
      <alignment horizontal="center" vertical="center"/>
    </xf>
    <xf numFmtId="0" fontId="4" fillId="3" borderId="2" xfId="0" applyFont="1" applyFill="1" applyBorder="1" applyAlignment="1">
      <alignment horizontal="center" vertical="center"/>
    </xf>
    <xf numFmtId="0" fontId="4" fillId="15"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16" borderId="14" xfId="0" applyFont="1" applyFill="1" applyBorder="1" applyAlignment="1">
      <alignment horizontal="center" vertical="center"/>
    </xf>
    <xf numFmtId="0" fontId="4" fillId="5" borderId="31" xfId="0" applyFont="1" applyFill="1" applyBorder="1" applyAlignment="1">
      <alignment horizontal="center" vertical="center"/>
    </xf>
    <xf numFmtId="0" fontId="4" fillId="9" borderId="2" xfId="0" applyFont="1" applyFill="1" applyBorder="1" applyAlignment="1">
      <alignment horizontal="center" vertical="center"/>
    </xf>
    <xf numFmtId="0" fontId="4" fillId="3" borderId="9" xfId="0" applyFont="1" applyFill="1" applyBorder="1" applyAlignment="1">
      <alignment horizontal="center" vertical="center"/>
    </xf>
    <xf numFmtId="0" fontId="4" fillId="16" borderId="10" xfId="0" applyFont="1" applyFill="1" applyBorder="1" applyAlignment="1">
      <alignment horizontal="center" vertical="center"/>
    </xf>
    <xf numFmtId="0" fontId="6" fillId="3" borderId="7" xfId="0" applyFont="1" applyFill="1" applyBorder="1" applyAlignment="1">
      <alignment horizontal="center" vertical="center"/>
    </xf>
    <xf numFmtId="0" fontId="74" fillId="0" borderId="0" xfId="0" applyFont="1" applyBorder="1" applyAlignment="1">
      <alignment horizontal="left"/>
    </xf>
    <xf numFmtId="0" fontId="17" fillId="0" borderId="0" xfId="0" applyFont="1" applyBorder="1" applyAlignment="1">
      <alignment horizontal="left"/>
    </xf>
    <xf numFmtId="0" fontId="17" fillId="0" borderId="0" xfId="0" applyFont="1" applyBorder="1" applyAlignment="1">
      <alignment horizontal="center"/>
    </xf>
    <xf numFmtId="0" fontId="76" fillId="0" borderId="0" xfId="0" applyFont="1" applyAlignment="1">
      <alignment horizontal="right"/>
    </xf>
    <xf numFmtId="0" fontId="76" fillId="0" borderId="0" xfId="0" applyFont="1" applyAlignment="1">
      <alignment horizontal="center"/>
    </xf>
    <xf numFmtId="0" fontId="78" fillId="11" borderId="5" xfId="0" applyFont="1" applyFill="1" applyBorder="1" applyAlignment="1">
      <alignment horizontal="center" vertical="center" wrapText="1"/>
    </xf>
    <xf numFmtId="0" fontId="78" fillId="11" borderId="6" xfId="0" applyFont="1" applyFill="1" applyBorder="1" applyAlignment="1">
      <alignment horizontal="center" vertical="center" wrapText="1"/>
    </xf>
    <xf numFmtId="0" fontId="78" fillId="11" borderId="7" xfId="0" applyFont="1" applyFill="1" applyBorder="1" applyAlignment="1">
      <alignment horizontal="center" vertical="center" wrapText="1"/>
    </xf>
    <xf numFmtId="0" fontId="17" fillId="5" borderId="12" xfId="0" applyFont="1" applyFill="1" applyBorder="1"/>
    <xf numFmtId="0" fontId="17" fillId="5" borderId="2" xfId="0" applyFont="1" applyFill="1" applyBorder="1" applyAlignment="1">
      <alignment horizontal="left"/>
    </xf>
    <xf numFmtId="3" fontId="17" fillId="5" borderId="2" xfId="0" applyNumberFormat="1" applyFont="1" applyFill="1" applyBorder="1" applyAlignment="1">
      <alignment horizontal="left"/>
    </xf>
    <xf numFmtId="3" fontId="76" fillId="4" borderId="2" xfId="0" applyNumberFormat="1" applyFont="1" applyFill="1" applyBorder="1" applyAlignment="1">
      <alignment horizontal="left"/>
    </xf>
    <xf numFmtId="3" fontId="76" fillId="4" borderId="14" xfId="0" applyNumberFormat="1" applyFont="1" applyFill="1" applyBorder="1" applyAlignment="1">
      <alignment horizontal="left"/>
    </xf>
    <xf numFmtId="3" fontId="30" fillId="4" borderId="9" xfId="0" applyNumberFormat="1" applyFont="1" applyFill="1" applyBorder="1" applyAlignment="1">
      <alignment horizontal="left"/>
    </xf>
    <xf numFmtId="3" fontId="30" fillId="4" borderId="10" xfId="0" applyNumberFormat="1" applyFont="1" applyFill="1" applyBorder="1" applyAlignment="1">
      <alignment horizontal="left"/>
    </xf>
    <xf numFmtId="0" fontId="74" fillId="2" borderId="0" xfId="0" applyFont="1" applyFill="1"/>
    <xf numFmtId="0" fontId="17" fillId="2" borderId="0" xfId="0" applyFont="1" applyFill="1"/>
    <xf numFmtId="0" fontId="76" fillId="0" borderId="0" xfId="0" applyFont="1" applyBorder="1" applyAlignment="1">
      <alignment horizontal="right"/>
    </xf>
    <xf numFmtId="0" fontId="76" fillId="0" borderId="0" xfId="0" applyNumberFormat="1" applyFont="1" applyBorder="1" applyAlignment="1"/>
    <xf numFmtId="0" fontId="76" fillId="10" borderId="4" xfId="0" applyFont="1" applyFill="1" applyBorder="1" applyAlignment="1">
      <alignment horizontal="center" vertical="center" wrapText="1"/>
    </xf>
    <xf numFmtId="0" fontId="76" fillId="10" borderId="32" xfId="0" applyFont="1" applyFill="1" applyBorder="1" applyAlignment="1">
      <alignment horizontal="center" vertical="center" wrapText="1"/>
    </xf>
    <xf numFmtId="0" fontId="76" fillId="10" borderId="2" xfId="0" applyFont="1" applyFill="1" applyBorder="1" applyAlignment="1">
      <alignment horizontal="center" vertical="center" wrapText="1"/>
    </xf>
    <xf numFmtId="0" fontId="18" fillId="5" borderId="2" xfId="0" applyFont="1" applyFill="1" applyBorder="1" applyAlignment="1">
      <alignment horizontal="center"/>
    </xf>
    <xf numFmtId="0" fontId="18" fillId="5" borderId="2" xfId="0" applyFont="1" applyFill="1" applyBorder="1"/>
    <xf numFmtId="0" fontId="18" fillId="5" borderId="4" xfId="0" applyFont="1" applyFill="1" applyBorder="1"/>
    <xf numFmtId="0" fontId="18" fillId="5" borderId="4" xfId="0" applyFont="1" applyFill="1" applyBorder="1" applyAlignment="1"/>
    <xf numFmtId="3" fontId="76" fillId="4" borderId="4" xfId="0" applyNumberFormat="1" applyFont="1" applyFill="1" applyBorder="1" applyAlignment="1">
      <alignment horizontal="right"/>
    </xf>
    <xf numFmtId="0" fontId="18" fillId="5" borderId="2" xfId="0" applyFont="1" applyFill="1" applyBorder="1" applyAlignment="1"/>
    <xf numFmtId="3" fontId="76" fillId="4" borderId="2" xfId="0" applyNumberFormat="1" applyFont="1" applyFill="1" applyBorder="1" applyAlignment="1">
      <alignment horizontal="right"/>
    </xf>
    <xf numFmtId="0" fontId="18" fillId="5" borderId="2" xfId="0" applyFont="1" applyFill="1" applyBorder="1" applyAlignment="1">
      <alignment horizontal="left"/>
    </xf>
    <xf numFmtId="0" fontId="17" fillId="0" borderId="0" xfId="0" applyFont="1" applyBorder="1"/>
    <xf numFmtId="3" fontId="30" fillId="4" borderId="2" xfId="0" applyNumberFormat="1" applyFont="1" applyFill="1" applyBorder="1" applyAlignment="1">
      <alignment horizontal="right"/>
    </xf>
    <xf numFmtId="3" fontId="17" fillId="0" borderId="0" xfId="0" applyNumberFormat="1" applyFont="1"/>
    <xf numFmtId="0" fontId="74" fillId="9" borderId="0" xfId="0" applyFont="1" applyFill="1" applyAlignment="1">
      <alignment horizontal="left" vertical="center"/>
    </xf>
    <xf numFmtId="0" fontId="17" fillId="9" borderId="0" xfId="0" applyFont="1" applyFill="1" applyAlignment="1">
      <alignment horizontal="left" vertical="center"/>
    </xf>
    <xf numFmtId="0" fontId="17" fillId="9" borderId="0" xfId="0" applyFont="1" applyFill="1"/>
    <xf numFmtId="0" fontId="78" fillId="11" borderId="2" xfId="0" applyFont="1" applyFill="1" applyBorder="1" applyAlignment="1">
      <alignment horizontal="center" vertical="center" wrapText="1"/>
    </xf>
    <xf numFmtId="0" fontId="78" fillId="11" borderId="2" xfId="0" applyFont="1" applyFill="1" applyBorder="1" applyAlignment="1">
      <alignment horizontal="center"/>
    </xf>
    <xf numFmtId="0" fontId="76" fillId="4" borderId="2" xfId="0" applyFont="1" applyFill="1" applyBorder="1" applyAlignment="1">
      <alignment horizontal="left"/>
    </xf>
    <xf numFmtId="0" fontId="74" fillId="0" borderId="0" xfId="0" applyFont="1" applyBorder="1"/>
    <xf numFmtId="0" fontId="18" fillId="0" borderId="0" xfId="0" applyFont="1" applyBorder="1"/>
    <xf numFmtId="0" fontId="18" fillId="3" borderId="6" xfId="0" applyFont="1" applyFill="1" applyBorder="1" applyAlignment="1">
      <alignment horizontal="center" vertical="center" wrapText="1"/>
    </xf>
    <xf numFmtId="0" fontId="18" fillId="3" borderId="6" xfId="0" applyFont="1" applyFill="1" applyBorder="1" applyAlignment="1">
      <alignment horizontal="center" vertical="center"/>
    </xf>
    <xf numFmtId="0" fontId="18" fillId="3" borderId="7" xfId="0" applyFont="1" applyFill="1" applyBorder="1" applyAlignment="1">
      <alignment horizontal="center" vertical="center" wrapText="1"/>
    </xf>
    <xf numFmtId="0" fontId="17" fillId="5" borderId="12" xfId="0" applyFont="1" applyFill="1" applyBorder="1" applyAlignment="1">
      <alignment horizontal="left"/>
    </xf>
    <xf numFmtId="0" fontId="76" fillId="4" borderId="2" xfId="0" applyFont="1" applyFill="1" applyBorder="1" applyAlignment="1">
      <alignment horizontal="right"/>
    </xf>
    <xf numFmtId="0" fontId="76" fillId="4" borderId="14" xfId="0" applyFont="1" applyFill="1" applyBorder="1" applyAlignment="1">
      <alignment horizontal="right"/>
    </xf>
    <xf numFmtId="0" fontId="30" fillId="4" borderId="33" xfId="0" applyFont="1" applyFill="1" applyBorder="1" applyAlignment="1">
      <alignment horizontal="right"/>
    </xf>
    <xf numFmtId="0" fontId="18" fillId="3" borderId="2" xfId="0" applyFont="1" applyFill="1" applyBorder="1" applyAlignment="1">
      <alignment horizontal="center" vertical="center"/>
    </xf>
    <xf numFmtId="0" fontId="17" fillId="4" borderId="2" xfId="0" applyFont="1" applyFill="1" applyBorder="1" applyAlignment="1">
      <alignment horizontal="right"/>
    </xf>
    <xf numFmtId="0" fontId="18" fillId="3" borderId="2" xfId="0" applyFont="1" applyFill="1" applyBorder="1" applyAlignment="1">
      <alignment horizontal="center"/>
    </xf>
    <xf numFmtId="0" fontId="17" fillId="2" borderId="0" xfId="0" quotePrefix="1" applyFont="1" applyFill="1"/>
    <xf numFmtId="0" fontId="77" fillId="0" borderId="0" xfId="0" applyFont="1"/>
    <xf numFmtId="0" fontId="74" fillId="9" borderId="0" xfId="0" applyFont="1" applyFill="1"/>
    <xf numFmtId="0" fontId="17" fillId="9" borderId="0" xfId="0" quotePrefix="1" applyFont="1" applyFill="1"/>
    <xf numFmtId="0" fontId="17" fillId="4" borderId="2" xfId="0" applyFont="1" applyFill="1" applyBorder="1" applyAlignment="1">
      <alignment horizontal="center"/>
    </xf>
    <xf numFmtId="0" fontId="17" fillId="4" borderId="2" xfId="0" applyFont="1" applyFill="1" applyBorder="1"/>
    <xf numFmtId="0" fontId="17" fillId="5" borderId="2" xfId="0" applyFont="1" applyFill="1" applyBorder="1" applyAlignment="1">
      <alignment horizontal="left" vertical="center"/>
    </xf>
    <xf numFmtId="14" fontId="17" fillId="4" borderId="2" xfId="0" applyNumberFormat="1" applyFont="1" applyFill="1" applyBorder="1" applyAlignment="1">
      <alignment horizontal="center"/>
    </xf>
    <xf numFmtId="0" fontId="17" fillId="3" borderId="2" xfId="0" applyFont="1" applyFill="1" applyBorder="1" applyAlignment="1">
      <alignment horizontal="center" vertical="center" wrapText="1"/>
    </xf>
    <xf numFmtId="0" fontId="17" fillId="3" borderId="2" xfId="0" applyFont="1" applyFill="1" applyBorder="1" applyAlignment="1">
      <alignment horizontal="center" vertical="center"/>
    </xf>
    <xf numFmtId="0" fontId="17" fillId="0" borderId="0" xfId="0" applyFont="1" applyBorder="1" applyAlignment="1">
      <alignment horizontal="center" vertical="center" wrapText="1"/>
    </xf>
    <xf numFmtId="0" fontId="98" fillId="4" borderId="13" xfId="0" applyFont="1" applyFill="1" applyBorder="1" applyAlignment="1">
      <alignment horizontal="center" vertical="center"/>
    </xf>
    <xf numFmtId="0" fontId="111" fillId="0" borderId="0" xfId="0" applyFont="1" applyAlignment="1">
      <alignment horizontal="center"/>
    </xf>
    <xf numFmtId="0" fontId="97" fillId="3" borderId="6" xfId="0" applyFont="1" applyFill="1" applyBorder="1" applyAlignment="1">
      <alignment horizontal="center" vertical="center" wrapText="1"/>
    </xf>
    <xf numFmtId="0" fontId="97" fillId="3" borderId="7" xfId="0" applyFont="1" applyFill="1" applyBorder="1" applyAlignment="1">
      <alignment horizontal="center" vertical="center" wrapText="1"/>
    </xf>
    <xf numFmtId="0" fontId="97" fillId="4" borderId="12" xfId="0" applyFont="1" applyFill="1" applyBorder="1" applyAlignment="1">
      <alignment horizontal="center"/>
    </xf>
    <xf numFmtId="0" fontId="97" fillId="4" borderId="2" xfId="0" applyFont="1" applyFill="1" applyBorder="1"/>
    <xf numFmtId="0" fontId="97" fillId="4" borderId="14" xfId="0" applyFont="1" applyFill="1" applyBorder="1"/>
    <xf numFmtId="0" fontId="97" fillId="4" borderId="9" xfId="0" applyFont="1" applyFill="1" applyBorder="1"/>
    <xf numFmtId="0" fontId="97" fillId="4" borderId="10" xfId="0" applyFont="1" applyFill="1" applyBorder="1"/>
    <xf numFmtId="0" fontId="97" fillId="4" borderId="13" xfId="0" applyFont="1" applyFill="1" applyBorder="1" applyAlignment="1">
      <alignment horizontal="center"/>
    </xf>
    <xf numFmtId="0" fontId="97" fillId="5" borderId="2" xfId="0" applyFont="1" applyFill="1" applyBorder="1" applyAlignment="1">
      <alignment horizontal="center"/>
    </xf>
    <xf numFmtId="0" fontId="97" fillId="3" borderId="5" xfId="0" applyFont="1" applyFill="1" applyBorder="1" applyAlignment="1">
      <alignment horizontal="center" vertical="center" wrapText="1"/>
    </xf>
    <xf numFmtId="0" fontId="97" fillId="0" borderId="0" xfId="0" applyFont="1" applyAlignment="1">
      <alignment horizontal="left"/>
    </xf>
    <xf numFmtId="0" fontId="97" fillId="0" borderId="34" xfId="0" applyFont="1" applyBorder="1" applyAlignment="1">
      <alignment horizontal="left"/>
    </xf>
    <xf numFmtId="0" fontId="97" fillId="5" borderId="13" xfId="0" applyFont="1" applyFill="1" applyBorder="1" applyAlignment="1">
      <alignment horizontal="center" vertical="center"/>
    </xf>
    <xf numFmtId="0" fontId="97" fillId="5" borderId="9" xfId="0" applyFont="1" applyFill="1" applyBorder="1" applyAlignment="1">
      <alignment horizontal="center" vertical="center"/>
    </xf>
    <xf numFmtId="3" fontId="17" fillId="9" borderId="2" xfId="0" applyNumberFormat="1" applyFont="1" applyFill="1" applyBorder="1" applyAlignment="1">
      <alignment horizontal="right"/>
    </xf>
    <xf numFmtId="0" fontId="17" fillId="9" borderId="2" xfId="0" applyNumberFormat="1" applyFont="1" applyFill="1" applyBorder="1" applyAlignment="1">
      <alignment horizontal="right"/>
    </xf>
    <xf numFmtId="0" fontId="74" fillId="0" borderId="0" xfId="0" applyFont="1"/>
    <xf numFmtId="0" fontId="18" fillId="3" borderId="2" xfId="0" applyFont="1" applyFill="1" applyBorder="1"/>
    <xf numFmtId="0" fontId="18" fillId="0" borderId="0" xfId="0" applyFont="1" applyFill="1" applyBorder="1"/>
    <xf numFmtId="0" fontId="18" fillId="4" borderId="2" xfId="0" applyFont="1" applyFill="1" applyBorder="1" applyAlignment="1">
      <alignment horizontal="center"/>
    </xf>
    <xf numFmtId="0" fontId="17" fillId="0" borderId="0" xfId="0" applyFont="1" applyFill="1" applyBorder="1"/>
    <xf numFmtId="10" fontId="17" fillId="4" borderId="2" xfId="0" applyNumberFormat="1" applyFont="1" applyFill="1" applyBorder="1"/>
    <xf numFmtId="0" fontId="18" fillId="9" borderId="2" xfId="0" applyFont="1" applyFill="1" applyBorder="1" applyAlignment="1">
      <alignment horizontal="center" vertical="center"/>
    </xf>
    <xf numFmtId="0" fontId="17" fillId="9" borderId="2" xfId="0" applyFont="1" applyFill="1" applyBorder="1" applyAlignment="1">
      <alignment horizontal="center" vertical="center"/>
    </xf>
    <xf numFmtId="0" fontId="18" fillId="4" borderId="2" xfId="0" applyFont="1" applyFill="1" applyBorder="1"/>
    <xf numFmtId="0" fontId="17" fillId="9" borderId="2" xfId="0" applyFont="1" applyFill="1" applyBorder="1" applyAlignment="1">
      <alignment horizontal="center"/>
    </xf>
    <xf numFmtId="0" fontId="89" fillId="2" borderId="0" xfId="0" quotePrefix="1" applyFont="1" applyFill="1"/>
    <xf numFmtId="0" fontId="88" fillId="2" borderId="0" xfId="0" applyFont="1" applyFill="1"/>
    <xf numFmtId="0" fontId="17" fillId="0" borderId="2" xfId="0" applyFont="1" applyBorder="1" applyAlignment="1">
      <alignment horizontal="center" vertical="center"/>
    </xf>
    <xf numFmtId="0" fontId="123" fillId="0" borderId="0" xfId="0" applyFont="1" applyBorder="1" applyAlignment="1">
      <alignment horizontal="left"/>
    </xf>
    <xf numFmtId="0" fontId="124" fillId="0" borderId="0" xfId="0" applyFont="1"/>
    <xf numFmtId="0" fontId="124" fillId="0" borderId="0" xfId="0" applyFont="1" applyBorder="1" applyAlignment="1">
      <alignment horizontal="center"/>
    </xf>
    <xf numFmtId="0" fontId="125" fillId="3" borderId="5" xfId="0" applyFont="1" applyFill="1" applyBorder="1" applyAlignment="1">
      <alignment horizontal="center" vertical="center"/>
    </xf>
    <xf numFmtId="0" fontId="125" fillId="3" borderId="6" xfId="0" applyFont="1" applyFill="1" applyBorder="1" applyAlignment="1">
      <alignment horizontal="center" vertical="center"/>
    </xf>
    <xf numFmtId="0" fontId="125" fillId="3" borderId="6" xfId="0" applyFont="1" applyFill="1" applyBorder="1" applyAlignment="1">
      <alignment horizontal="center" vertical="center" wrapText="1"/>
    </xf>
    <xf numFmtId="0" fontId="125" fillId="3" borderId="35" xfId="0" applyFont="1" applyFill="1" applyBorder="1" applyAlignment="1">
      <alignment horizontal="center" vertical="center" wrapText="1"/>
    </xf>
    <xf numFmtId="0" fontId="125" fillId="3" borderId="7" xfId="0" applyFont="1" applyFill="1" applyBorder="1" applyAlignment="1">
      <alignment horizontal="center" vertical="center" wrapText="1"/>
    </xf>
    <xf numFmtId="181" fontId="124" fillId="4" borderId="12" xfId="0" applyNumberFormat="1" applyFont="1" applyFill="1" applyBorder="1"/>
    <xf numFmtId="21" fontId="124" fillId="4" borderId="2" xfId="0" applyNumberFormat="1" applyFont="1" applyFill="1" applyBorder="1" applyAlignment="1">
      <alignment horizontal="center"/>
    </xf>
    <xf numFmtId="0" fontId="124" fillId="5" borderId="2" xfId="0" applyNumberFormat="1" applyFont="1" applyFill="1" applyBorder="1" applyAlignment="1">
      <alignment horizontal="center"/>
    </xf>
    <xf numFmtId="2" fontId="124" fillId="5" borderId="2" xfId="0" applyNumberFormat="1" applyFont="1" applyFill="1" applyBorder="1" applyAlignment="1">
      <alignment horizontal="center"/>
    </xf>
    <xf numFmtId="0" fontId="124" fillId="4" borderId="2" xfId="0" applyFont="1" applyFill="1" applyBorder="1" applyAlignment="1">
      <alignment horizontal="center"/>
    </xf>
    <xf numFmtId="0" fontId="124" fillId="5" borderId="29" xfId="0" applyFont="1" applyFill="1" applyBorder="1" applyAlignment="1">
      <alignment horizontal="center"/>
    </xf>
    <xf numFmtId="168" fontId="124" fillId="5" borderId="14" xfId="0" applyNumberFormat="1" applyFont="1" applyFill="1" applyBorder="1" applyAlignment="1">
      <alignment horizontal="center"/>
    </xf>
    <xf numFmtId="181" fontId="124" fillId="4" borderId="36" xfId="0" applyNumberFormat="1" applyFont="1" applyFill="1" applyBorder="1"/>
    <xf numFmtId="21" fontId="124" fillId="4" borderId="3" xfId="0" applyNumberFormat="1" applyFont="1" applyFill="1" applyBorder="1" applyAlignment="1">
      <alignment horizontal="center"/>
    </xf>
    <xf numFmtId="0" fontId="124" fillId="4" borderId="3" xfId="0" applyFont="1" applyFill="1" applyBorder="1" applyAlignment="1">
      <alignment horizontal="center"/>
    </xf>
    <xf numFmtId="181" fontId="124" fillId="4" borderId="13" xfId="0" applyNumberFormat="1" applyFont="1" applyFill="1" applyBorder="1"/>
    <xf numFmtId="21" fontId="124" fillId="4" borderId="9" xfId="0" applyNumberFormat="1" applyFont="1" applyFill="1" applyBorder="1" applyAlignment="1">
      <alignment horizontal="center"/>
    </xf>
    <xf numFmtId="0" fontId="124" fillId="4" borderId="9" xfId="0" applyFont="1" applyFill="1" applyBorder="1" applyAlignment="1">
      <alignment horizontal="center"/>
    </xf>
    <xf numFmtId="0" fontId="124" fillId="0" borderId="0" xfId="0" applyFont="1" applyAlignment="1">
      <alignment horizontal="left"/>
    </xf>
    <xf numFmtId="0" fontId="124" fillId="0" borderId="0" xfId="0" applyFont="1" applyAlignment="1">
      <alignment horizontal="center"/>
    </xf>
    <xf numFmtId="2" fontId="124" fillId="3" borderId="13" xfId="0" applyNumberFormat="1" applyFont="1" applyFill="1" applyBorder="1" applyAlignment="1">
      <alignment horizontal="center"/>
    </xf>
    <xf numFmtId="2" fontId="124" fillId="3" borderId="10" xfId="0" applyNumberFormat="1" applyFont="1" applyFill="1" applyBorder="1" applyAlignment="1">
      <alignment horizontal="center"/>
    </xf>
    <xf numFmtId="0" fontId="124" fillId="4" borderId="4" xfId="0" applyFont="1" applyFill="1" applyBorder="1" applyAlignment="1">
      <alignment horizontal="center" wrapText="1"/>
    </xf>
    <xf numFmtId="0" fontId="124" fillId="4" borderId="4" xfId="0" applyFont="1" applyFill="1" applyBorder="1" applyAlignment="1">
      <alignment horizontal="center"/>
    </xf>
    <xf numFmtId="0" fontId="124" fillId="4" borderId="12" xfId="0" applyFont="1" applyFill="1" applyBorder="1"/>
    <xf numFmtId="0" fontId="124" fillId="5" borderId="14" xfId="0" applyFont="1" applyFill="1" applyBorder="1" applyAlignment="1">
      <alignment horizontal="center"/>
    </xf>
    <xf numFmtId="0" fontId="124" fillId="4" borderId="2" xfId="0" applyFont="1" applyFill="1" applyBorder="1" applyAlignment="1">
      <alignment horizontal="center" wrapText="1"/>
    </xf>
    <xf numFmtId="0" fontId="124" fillId="4" borderId="13" xfId="0" applyFont="1" applyFill="1" applyBorder="1"/>
    <xf numFmtId="0" fontId="124" fillId="5" borderId="10" xfId="0" applyFont="1" applyFill="1" applyBorder="1" applyAlignment="1">
      <alignment horizontal="center"/>
    </xf>
    <xf numFmtId="205" fontId="76" fillId="0" borderId="0" xfId="0" applyNumberFormat="1" applyFont="1" applyAlignment="1">
      <alignment horizontal="left"/>
    </xf>
    <xf numFmtId="181" fontId="17" fillId="5" borderId="2" xfId="0" applyNumberFormat="1" applyFont="1" applyFill="1" applyBorder="1" applyAlignment="1">
      <alignment horizontal="center"/>
    </xf>
    <xf numFmtId="0" fontId="76" fillId="4" borderId="2" xfId="0" applyNumberFormat="1" applyFont="1" applyFill="1" applyBorder="1" applyAlignment="1"/>
    <xf numFmtId="3" fontId="76" fillId="4" borderId="2" xfId="0" applyNumberFormat="1" applyFont="1" applyFill="1" applyBorder="1" applyAlignment="1"/>
    <xf numFmtId="0" fontId="76" fillId="4" borderId="2" xfId="0" applyFont="1" applyFill="1" applyBorder="1" applyAlignment="1"/>
    <xf numFmtId="181" fontId="17" fillId="0" borderId="0" xfId="0" applyNumberFormat="1" applyFont="1" applyBorder="1" applyAlignment="1">
      <alignment horizontal="center"/>
    </xf>
    <xf numFmtId="0" fontId="18" fillId="2" borderId="0" xfId="0" applyFont="1" applyFill="1"/>
    <xf numFmtId="0" fontId="123" fillId="8" borderId="0" xfId="0" applyFont="1" applyFill="1"/>
    <xf numFmtId="0" fontId="124" fillId="8" borderId="0" xfId="0" applyFont="1" applyFill="1"/>
    <xf numFmtId="0" fontId="124" fillId="8" borderId="0" xfId="0" applyFont="1" applyFill="1" applyBorder="1"/>
    <xf numFmtId="0" fontId="124" fillId="8" borderId="0" xfId="0" applyFont="1" applyFill="1" applyBorder="1" applyAlignment="1">
      <alignment horizontal="center"/>
    </xf>
    <xf numFmtId="0" fontId="6" fillId="3" borderId="16" xfId="0" applyFont="1" applyFill="1" applyBorder="1" applyAlignment="1">
      <alignment horizontal="center" vertical="center"/>
    </xf>
    <xf numFmtId="0" fontId="97" fillId="0" borderId="0" xfId="0" applyFont="1" applyAlignment="1">
      <alignment horizontal="center" vertical="center" wrapText="1"/>
    </xf>
    <xf numFmtId="0" fontId="110" fillId="12" borderId="2" xfId="0" applyFont="1" applyFill="1" applyBorder="1" applyAlignment="1">
      <alignment horizontal="center" vertical="center" wrapText="1"/>
    </xf>
    <xf numFmtId="0" fontId="97" fillId="3" borderId="2" xfId="0" applyFont="1" applyFill="1" applyBorder="1" applyAlignment="1">
      <alignment horizontal="center" vertical="center" wrapText="1"/>
    </xf>
    <xf numFmtId="0" fontId="97" fillId="0" borderId="0" xfId="0" applyFont="1" applyBorder="1" applyAlignment="1">
      <alignment horizontal="center" vertical="center" wrapText="1"/>
    </xf>
    <xf numFmtId="0" fontId="97" fillId="0" borderId="0" xfId="0" applyFont="1" applyBorder="1" applyAlignment="1">
      <alignment horizontal="center" vertical="center"/>
    </xf>
    <xf numFmtId="0" fontId="110" fillId="0" borderId="0" xfId="0" applyFont="1" applyFill="1" applyBorder="1" applyAlignment="1">
      <alignment horizontal="center" vertical="center" wrapText="1"/>
    </xf>
    <xf numFmtId="0" fontId="97" fillId="3" borderId="2" xfId="0" applyFont="1" applyFill="1" applyBorder="1" applyAlignment="1">
      <alignment horizontal="left" vertical="center" wrapText="1"/>
    </xf>
    <xf numFmtId="0" fontId="97" fillId="0" borderId="0" xfId="0" applyFont="1" applyFill="1" applyBorder="1" applyAlignment="1">
      <alignment horizontal="center" vertical="center" wrapText="1"/>
    </xf>
    <xf numFmtId="0" fontId="97" fillId="0" borderId="0" xfId="0" applyFont="1" applyBorder="1" applyAlignment="1">
      <alignment vertical="center" wrapText="1"/>
    </xf>
    <xf numFmtId="0" fontId="97" fillId="3" borderId="3" xfId="0" applyFont="1" applyFill="1" applyBorder="1" applyAlignment="1">
      <alignment horizontal="left" vertical="center" wrapText="1"/>
    </xf>
    <xf numFmtId="0" fontId="97" fillId="3" borderId="3" xfId="0" applyFont="1" applyFill="1" applyBorder="1" applyAlignment="1">
      <alignment horizontal="center" vertical="center" wrapText="1"/>
    </xf>
    <xf numFmtId="0" fontId="98" fillId="0" borderId="0" xfId="0" applyFont="1" applyBorder="1" applyAlignment="1">
      <alignment vertical="center" wrapText="1"/>
    </xf>
    <xf numFmtId="0" fontId="97" fillId="0" borderId="2" xfId="0" applyFont="1" applyBorder="1" applyAlignment="1">
      <alignment horizontal="center" vertical="center"/>
    </xf>
    <xf numFmtId="0" fontId="98" fillId="0" borderId="0" xfId="0" applyFont="1" applyBorder="1" applyAlignment="1">
      <alignment horizontal="center" vertical="center" wrapText="1"/>
    </xf>
    <xf numFmtId="0" fontId="96" fillId="2" borderId="0" xfId="0" applyFont="1" applyFill="1" applyAlignment="1">
      <alignment horizontal="left"/>
    </xf>
    <xf numFmtId="0" fontId="97" fillId="2" borderId="0" xfId="0" applyFont="1" applyFill="1" applyAlignment="1">
      <alignment horizontal="left"/>
    </xf>
    <xf numFmtId="0" fontId="97" fillId="2" borderId="0" xfId="0" applyFont="1" applyFill="1" applyAlignment="1">
      <alignment horizontal="center" vertical="center"/>
    </xf>
    <xf numFmtId="0" fontId="97" fillId="2" borderId="0" xfId="0" quotePrefix="1" applyFont="1" applyFill="1" applyAlignment="1">
      <alignment horizontal="left"/>
    </xf>
    <xf numFmtId="0" fontId="100" fillId="4" borderId="2" xfId="0" applyFont="1" applyFill="1" applyBorder="1" applyAlignment="1">
      <alignment horizontal="right"/>
    </xf>
    <xf numFmtId="0" fontId="100" fillId="4" borderId="2" xfId="0" applyNumberFormat="1" applyFont="1" applyFill="1" applyBorder="1" applyAlignment="1">
      <alignment horizontal="right"/>
    </xf>
    <xf numFmtId="0" fontId="127" fillId="0" borderId="0" xfId="0" applyFont="1"/>
    <xf numFmtId="0" fontId="128" fillId="0" borderId="0" xfId="0" applyFont="1" applyAlignment="1">
      <alignment horizontal="center"/>
    </xf>
    <xf numFmtId="0" fontId="96" fillId="2" borderId="0" xfId="0" applyFont="1" applyFill="1"/>
    <xf numFmtId="0" fontId="97" fillId="2" borderId="0" xfId="0" applyFont="1" applyFill="1"/>
    <xf numFmtId="0" fontId="97" fillId="2" borderId="0" xfId="0" quotePrefix="1" applyFont="1" applyFill="1"/>
    <xf numFmtId="0" fontId="17" fillId="4" borderId="2" xfId="0" applyFont="1" applyFill="1" applyBorder="1" applyAlignment="1"/>
    <xf numFmtId="0" fontId="30" fillId="4" borderId="2" xfId="0" applyFont="1" applyFill="1" applyBorder="1" applyAlignment="1"/>
    <xf numFmtId="0" fontId="4" fillId="5" borderId="5" xfId="0" applyFont="1" applyFill="1" applyBorder="1" applyAlignment="1">
      <alignment horizontal="center" vertical="center"/>
    </xf>
    <xf numFmtId="0" fontId="4" fillId="5" borderId="12" xfId="0" applyFont="1" applyFill="1" applyBorder="1" applyAlignment="1">
      <alignment horizontal="center" vertical="center"/>
    </xf>
    <xf numFmtId="0" fontId="4" fillId="5" borderId="13" xfId="0" applyFont="1" applyFill="1" applyBorder="1" applyAlignment="1">
      <alignment horizontal="center" vertical="center"/>
    </xf>
    <xf numFmtId="0" fontId="5" fillId="0" borderId="0" xfId="0" applyFont="1" applyBorder="1" applyAlignment="1">
      <alignment horizontal="left" vertical="center"/>
    </xf>
    <xf numFmtId="0" fontId="4" fillId="5" borderId="6" xfId="0" applyFont="1" applyFill="1" applyBorder="1" applyAlignment="1">
      <alignment vertical="center"/>
    </xf>
    <xf numFmtId="180" fontId="4" fillId="5" borderId="6" xfId="0" applyNumberFormat="1" applyFont="1" applyFill="1" applyBorder="1" applyAlignment="1">
      <alignment vertical="center"/>
    </xf>
    <xf numFmtId="180" fontId="4" fillId="5" borderId="2" xfId="0" applyNumberFormat="1" applyFont="1" applyFill="1" applyBorder="1" applyAlignment="1">
      <alignment vertical="center"/>
    </xf>
    <xf numFmtId="0" fontId="4" fillId="5" borderId="9" xfId="0" applyFont="1" applyFill="1" applyBorder="1" applyAlignment="1">
      <alignment vertical="center"/>
    </xf>
    <xf numFmtId="180" fontId="4" fillId="5" borderId="9" xfId="0" applyNumberFormat="1" applyFont="1" applyFill="1" applyBorder="1" applyAlignment="1">
      <alignment vertical="center"/>
    </xf>
    <xf numFmtId="0" fontId="5" fillId="2" borderId="0" xfId="0" applyFont="1" applyFill="1" applyAlignment="1">
      <alignment vertical="center"/>
    </xf>
    <xf numFmtId="0" fontId="18" fillId="3" borderId="2" xfId="0" applyFont="1" applyFill="1" applyBorder="1" applyAlignment="1">
      <alignment horizontal="left" vertical="center"/>
    </xf>
    <xf numFmtId="0" fontId="111" fillId="3" borderId="2" xfId="0" applyFont="1" applyFill="1" applyBorder="1" applyAlignment="1">
      <alignment horizontal="center" vertical="center" wrapText="1"/>
    </xf>
    <xf numFmtId="0" fontId="111" fillId="3" borderId="2" xfId="0" applyFont="1" applyFill="1" applyBorder="1" applyAlignment="1">
      <alignment horizontal="center" vertical="center"/>
    </xf>
    <xf numFmtId="3" fontId="76" fillId="4" borderId="3" xfId="0" applyNumberFormat="1" applyFont="1" applyFill="1" applyBorder="1" applyAlignment="1"/>
    <xf numFmtId="0" fontId="17" fillId="3" borderId="4" xfId="0" applyFont="1" applyFill="1" applyBorder="1" applyAlignment="1">
      <alignment horizontal="center"/>
    </xf>
    <xf numFmtId="181" fontId="17" fillId="3" borderId="4" xfId="0" applyNumberFormat="1" applyFont="1" applyFill="1" applyBorder="1" applyAlignment="1">
      <alignment horizontal="center"/>
    </xf>
    <xf numFmtId="0" fontId="17" fillId="3" borderId="4" xfId="0" applyFont="1" applyFill="1" applyBorder="1" applyAlignment="1">
      <alignment horizontal="right"/>
    </xf>
    <xf numFmtId="181" fontId="17" fillId="0" borderId="2" xfId="0" applyNumberFormat="1" applyFont="1" applyBorder="1" applyAlignment="1">
      <alignment horizontal="center"/>
    </xf>
    <xf numFmtId="0" fontId="11" fillId="0" borderId="0" xfId="0" applyFont="1" applyAlignment="1"/>
    <xf numFmtId="0" fontId="4" fillId="0" borderId="0" xfId="0" applyFont="1" applyAlignment="1">
      <alignment horizontal="right"/>
    </xf>
    <xf numFmtId="0" fontId="103" fillId="8" borderId="0" xfId="0" applyFont="1" applyFill="1" applyAlignment="1">
      <alignment vertical="center" wrapText="1"/>
    </xf>
    <xf numFmtId="0" fontId="103" fillId="0" borderId="0" xfId="0" applyFont="1" applyFill="1" applyAlignment="1">
      <alignment vertical="center" wrapText="1"/>
    </xf>
    <xf numFmtId="0" fontId="103" fillId="8" borderId="0" xfId="0" applyFont="1" applyFill="1" applyAlignment="1">
      <alignment vertical="center"/>
    </xf>
    <xf numFmtId="0" fontId="121" fillId="10" borderId="2" xfId="0" applyFont="1" applyFill="1" applyBorder="1"/>
    <xf numFmtId="0" fontId="6" fillId="0" borderId="0" xfId="0" applyFont="1" applyAlignment="1">
      <alignment vertical="center"/>
    </xf>
    <xf numFmtId="0" fontId="32" fillId="2" borderId="2" xfId="0" applyFont="1" applyFill="1" applyBorder="1" applyAlignment="1">
      <alignment horizontal="center" vertical="center"/>
    </xf>
    <xf numFmtId="0" fontId="6" fillId="0" borderId="0" xfId="0" applyFont="1" applyAlignment="1">
      <alignment horizontal="left" vertical="center"/>
    </xf>
    <xf numFmtId="0" fontId="129" fillId="11" borderId="2" xfId="0" applyFont="1" applyFill="1" applyBorder="1" applyAlignment="1">
      <alignment horizontal="center" vertical="center"/>
    </xf>
    <xf numFmtId="49" fontId="6" fillId="5" borderId="2" xfId="0" quotePrefix="1" applyNumberFormat="1" applyFont="1" applyFill="1" applyBorder="1" applyAlignment="1">
      <alignment horizontal="center" vertical="center"/>
    </xf>
    <xf numFmtId="0" fontId="6" fillId="0" borderId="0" xfId="0" applyFont="1" applyBorder="1" applyAlignment="1">
      <alignment vertical="center"/>
    </xf>
    <xf numFmtId="0" fontId="6" fillId="0" borderId="0" xfId="0" applyFont="1" applyFill="1" applyBorder="1" applyAlignment="1">
      <alignment horizontal="center" vertical="center"/>
    </xf>
    <xf numFmtId="14" fontId="6" fillId="5" borderId="2" xfId="0" applyNumberFormat="1" applyFont="1" applyFill="1" applyBorder="1" applyAlignment="1">
      <alignment vertical="center"/>
    </xf>
    <xf numFmtId="213" fontId="6" fillId="5" borderId="2" xfId="0" quotePrefix="1" applyNumberFormat="1" applyFont="1" applyFill="1" applyBorder="1" applyAlignment="1">
      <alignment vertical="center"/>
    </xf>
    <xf numFmtId="0" fontId="109" fillId="8" borderId="2" xfId="0" applyFont="1" applyFill="1" applyBorder="1" applyAlignment="1">
      <alignment vertical="center"/>
    </xf>
    <xf numFmtId="20" fontId="6" fillId="5" borderId="2" xfId="0" applyNumberFormat="1" applyFont="1" applyFill="1" applyBorder="1" applyAlignment="1">
      <alignment vertical="center"/>
    </xf>
    <xf numFmtId="0" fontId="109" fillId="8" borderId="2" xfId="0" quotePrefix="1" applyNumberFormat="1" applyFont="1" applyFill="1" applyBorder="1" applyAlignment="1">
      <alignment vertical="center"/>
    </xf>
    <xf numFmtId="1" fontId="109" fillId="8" borderId="2" xfId="0" applyNumberFormat="1" applyFont="1" applyFill="1" applyBorder="1" applyAlignment="1">
      <alignment horizontal="center" vertical="center"/>
    </xf>
    <xf numFmtId="0" fontId="6" fillId="0" borderId="0" xfId="0" applyNumberFormat="1" applyFont="1" applyAlignment="1">
      <alignment vertical="center"/>
    </xf>
    <xf numFmtId="213" fontId="6" fillId="0" borderId="0" xfId="0" applyNumberFormat="1" applyFont="1" applyAlignment="1">
      <alignment vertical="center"/>
    </xf>
    <xf numFmtId="213" fontId="129" fillId="11" borderId="2" xfId="0" applyNumberFormat="1" applyFont="1" applyFill="1" applyBorder="1" applyAlignment="1">
      <alignment horizontal="center" vertical="center"/>
    </xf>
    <xf numFmtId="213" fontId="6" fillId="5" borderId="2" xfId="0" applyNumberFormat="1" applyFont="1" applyFill="1" applyBorder="1" applyAlignment="1">
      <alignment horizontal="left" vertical="center"/>
    </xf>
    <xf numFmtId="1" fontId="6" fillId="5" borderId="2" xfId="0" applyNumberFormat="1" applyFont="1" applyFill="1" applyBorder="1" applyAlignment="1">
      <alignment horizontal="center" vertical="center"/>
    </xf>
    <xf numFmtId="1" fontId="6" fillId="0" borderId="0" xfId="0" applyNumberFormat="1" applyFont="1" applyAlignment="1">
      <alignment vertical="center"/>
    </xf>
    <xf numFmtId="0" fontId="130" fillId="11" borderId="2" xfId="0" applyFont="1" applyFill="1" applyBorder="1" applyAlignment="1">
      <alignment horizontal="center" vertical="center" wrapText="1"/>
    </xf>
    <xf numFmtId="0" fontId="6" fillId="8" borderId="2" xfId="0" applyFont="1" applyFill="1" applyBorder="1" applyAlignment="1">
      <alignment horizontal="center" vertical="center"/>
    </xf>
    <xf numFmtId="0" fontId="130" fillId="11" borderId="2" xfId="0" applyFont="1" applyFill="1" applyBorder="1" applyAlignment="1">
      <alignment vertical="center"/>
    </xf>
    <xf numFmtId="0" fontId="130" fillId="11" borderId="2" xfId="0" applyFont="1" applyFill="1" applyBorder="1" applyAlignment="1">
      <alignment horizontal="center" vertical="center"/>
    </xf>
    <xf numFmtId="213" fontId="109" fillId="5" borderId="2" xfId="0" applyNumberFormat="1" applyFont="1" applyFill="1" applyBorder="1" applyAlignment="1">
      <alignment vertical="center" wrapText="1"/>
    </xf>
    <xf numFmtId="0" fontId="109" fillId="8" borderId="2" xfId="0" applyFont="1" applyFill="1" applyBorder="1" applyAlignment="1">
      <alignment horizontal="right" vertical="center"/>
    </xf>
    <xf numFmtId="0" fontId="109" fillId="5" borderId="2" xfId="0" applyFont="1" applyFill="1" applyBorder="1" applyAlignment="1">
      <alignment vertical="center" wrapText="1"/>
    </xf>
    <xf numFmtId="0" fontId="6" fillId="0" borderId="2" xfId="0" applyFont="1" applyBorder="1" applyAlignment="1">
      <alignment vertical="center"/>
    </xf>
    <xf numFmtId="0" fontId="4" fillId="0" borderId="2" xfId="0" applyFont="1" applyBorder="1" applyAlignment="1">
      <alignment vertical="center"/>
    </xf>
    <xf numFmtId="20" fontId="6" fillId="0" borderId="0" xfId="0" applyNumberFormat="1" applyFont="1" applyFill="1" applyBorder="1" applyAlignment="1">
      <alignment vertical="center"/>
    </xf>
    <xf numFmtId="0" fontId="6" fillId="0" borderId="0" xfId="0" applyFont="1" applyFill="1" applyBorder="1" applyAlignment="1">
      <alignment vertical="center"/>
    </xf>
    <xf numFmtId="213" fontId="6" fillId="0" borderId="0" xfId="0" quotePrefix="1" applyNumberFormat="1" applyFont="1" applyBorder="1" applyAlignment="1">
      <alignment vertical="center"/>
    </xf>
    <xf numFmtId="0" fontId="103" fillId="9" borderId="2" xfId="0" applyFont="1" applyFill="1" applyBorder="1" applyAlignment="1">
      <alignment horizontal="center" vertical="center" wrapText="1"/>
    </xf>
    <xf numFmtId="3" fontId="132" fillId="7" borderId="2" xfId="0" applyNumberFormat="1" applyFont="1" applyFill="1" applyBorder="1" applyAlignment="1">
      <alignment horizontal="right" vertical="center" wrapText="1"/>
    </xf>
    <xf numFmtId="3" fontId="133" fillId="7" borderId="2" xfId="0" applyNumberFormat="1" applyFont="1" applyFill="1" applyBorder="1" applyAlignment="1">
      <alignment horizontal="right" vertical="center" wrapText="1"/>
    </xf>
    <xf numFmtId="3" fontId="134" fillId="7" borderId="2" xfId="0" applyNumberFormat="1" applyFont="1" applyFill="1" applyBorder="1" applyAlignment="1">
      <alignment horizontal="right" vertical="center" wrapText="1"/>
    </xf>
    <xf numFmtId="0" fontId="103" fillId="7" borderId="2" xfId="0" applyFont="1" applyFill="1" applyBorder="1" applyAlignment="1">
      <alignment horizontal="right" vertical="center" wrapText="1"/>
    </xf>
    <xf numFmtId="0" fontId="97" fillId="4" borderId="14" xfId="0" applyFont="1" applyFill="1" applyBorder="1" applyAlignment="1">
      <alignment horizontal="right"/>
    </xf>
    <xf numFmtId="0" fontId="97" fillId="4" borderId="9" xfId="0" applyFont="1" applyFill="1" applyBorder="1" applyAlignment="1">
      <alignment horizontal="center"/>
    </xf>
    <xf numFmtId="0" fontId="97" fillId="4" borderId="10" xfId="0" applyFont="1" applyFill="1" applyBorder="1" applyAlignment="1">
      <alignment horizontal="right"/>
    </xf>
    <xf numFmtId="0" fontId="4" fillId="4" borderId="2" xfId="0" applyFont="1" applyFill="1" applyBorder="1" applyAlignment="1">
      <alignment horizontal="right"/>
    </xf>
    <xf numFmtId="0" fontId="4" fillId="4" borderId="2" xfId="0" applyNumberFormat="1" applyFont="1" applyFill="1" applyBorder="1" applyAlignment="1">
      <alignment horizontal="right"/>
    </xf>
    <xf numFmtId="0" fontId="4" fillId="4" borderId="14" xfId="0" applyFont="1" applyFill="1" applyBorder="1" applyAlignment="1">
      <alignment horizontal="right"/>
    </xf>
    <xf numFmtId="0" fontId="4" fillId="4" borderId="6" xfId="0" applyFont="1" applyFill="1" applyBorder="1" applyAlignment="1">
      <alignment horizontal="right" vertical="center"/>
    </xf>
    <xf numFmtId="0" fontId="4" fillId="4" borderId="16" xfId="0" applyFont="1" applyFill="1" applyBorder="1" applyAlignment="1">
      <alignment horizontal="right" vertical="center"/>
    </xf>
    <xf numFmtId="0" fontId="4" fillId="4" borderId="7" xfId="0" applyFont="1" applyFill="1" applyBorder="1" applyAlignment="1">
      <alignment horizontal="center" vertical="center"/>
    </xf>
    <xf numFmtId="0" fontId="4" fillId="4" borderId="2" xfId="0" applyFont="1" applyFill="1" applyBorder="1" applyAlignment="1">
      <alignment horizontal="right" vertical="center"/>
    </xf>
    <xf numFmtId="0" fontId="4" fillId="4" borderId="14" xfId="0" applyFont="1" applyFill="1" applyBorder="1" applyAlignment="1">
      <alignment horizontal="center" vertical="center"/>
    </xf>
    <xf numFmtId="0" fontId="4" fillId="4" borderId="9" xfId="0" applyFont="1" applyFill="1" applyBorder="1" applyAlignment="1">
      <alignment horizontal="right" vertical="center"/>
    </xf>
    <xf numFmtId="0" fontId="4" fillId="4" borderId="10"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9" xfId="0" applyFont="1" applyFill="1" applyBorder="1" applyAlignment="1">
      <alignment horizontal="center" vertical="center"/>
    </xf>
    <xf numFmtId="0" fontId="18" fillId="3" borderId="12" xfId="0" applyFont="1" applyFill="1" applyBorder="1" applyAlignment="1">
      <alignment horizontal="center" vertical="center" wrapText="1"/>
    </xf>
    <xf numFmtId="0" fontId="18" fillId="3" borderId="14" xfId="0" applyFont="1" applyFill="1" applyBorder="1" applyAlignment="1">
      <alignment horizontal="center" vertical="center" wrapText="1"/>
    </xf>
    <xf numFmtId="0" fontId="4" fillId="2" borderId="2" xfId="0" applyFont="1" applyFill="1" applyBorder="1" applyAlignment="1">
      <alignment horizontal="center"/>
    </xf>
    <xf numFmtId="0" fontId="17" fillId="4" borderId="2" xfId="0" quotePrefix="1" applyNumberFormat="1" applyFont="1" applyFill="1" applyBorder="1" applyAlignment="1"/>
    <xf numFmtId="14" fontId="17" fillId="4" borderId="2" xfId="0" applyNumberFormat="1" applyFont="1" applyFill="1" applyBorder="1"/>
    <xf numFmtId="207" fontId="23" fillId="4" borderId="2" xfId="0" applyNumberFormat="1" applyFont="1" applyFill="1" applyBorder="1" applyAlignment="1">
      <alignment horizontal="center"/>
    </xf>
    <xf numFmtId="209" fontId="23" fillId="4" borderId="2" xfId="0" applyNumberFormat="1" applyFont="1" applyFill="1" applyBorder="1"/>
    <xf numFmtId="0" fontId="142" fillId="0" borderId="0" xfId="0" applyFont="1"/>
    <xf numFmtId="0" fontId="24" fillId="0" borderId="0" xfId="0" applyFont="1" applyAlignment="1">
      <alignment vertical="center"/>
    </xf>
    <xf numFmtId="0" fontId="24" fillId="0" borderId="0" xfId="0" applyFont="1"/>
    <xf numFmtId="0" fontId="97" fillId="9" borderId="2" xfId="0" applyFont="1" applyFill="1" applyBorder="1" applyAlignment="1">
      <alignment horizontal="center" vertical="center" wrapText="1"/>
    </xf>
    <xf numFmtId="0" fontId="97" fillId="7" borderId="2" xfId="0" applyFont="1" applyFill="1" applyBorder="1"/>
    <xf numFmtId="0" fontId="97" fillId="7" borderId="2" xfId="0" applyFont="1" applyFill="1" applyBorder="1" applyAlignment="1">
      <alignment horizontal="center"/>
    </xf>
    <xf numFmtId="0" fontId="97" fillId="9" borderId="2" xfId="0" applyFont="1" applyFill="1" applyBorder="1" applyAlignment="1"/>
    <xf numFmtId="0" fontId="4" fillId="4" borderId="2" xfId="0" applyNumberFormat="1" applyFont="1" applyFill="1" applyBorder="1" applyAlignment="1">
      <alignment vertical="center"/>
    </xf>
    <xf numFmtId="0" fontId="4" fillId="4" borderId="14" xfId="0" applyFont="1" applyFill="1" applyBorder="1" applyAlignment="1">
      <alignment vertical="center"/>
    </xf>
    <xf numFmtId="0" fontId="4" fillId="4" borderId="9" xfId="0" applyNumberFormat="1" applyFont="1" applyFill="1" applyBorder="1" applyAlignment="1">
      <alignment vertical="center"/>
    </xf>
    <xf numFmtId="0" fontId="4" fillId="4" borderId="10" xfId="0" applyFont="1" applyFill="1" applyBorder="1" applyAlignment="1">
      <alignment vertical="center"/>
    </xf>
    <xf numFmtId="0" fontId="4" fillId="4" borderId="12" xfId="0" applyFont="1" applyFill="1" applyBorder="1" applyAlignment="1">
      <alignment horizontal="center" vertical="center"/>
    </xf>
    <xf numFmtId="0" fontId="4" fillId="4" borderId="2" xfId="0" applyFont="1" applyFill="1" applyBorder="1" applyAlignment="1">
      <alignment vertical="center"/>
    </xf>
    <xf numFmtId="0" fontId="4" fillId="4" borderId="13" xfId="0" applyFont="1" applyFill="1" applyBorder="1" applyAlignment="1">
      <alignment horizontal="center" vertical="center"/>
    </xf>
    <xf numFmtId="14" fontId="97" fillId="9" borderId="2" xfId="0" applyNumberFormat="1" applyFont="1" applyFill="1" applyBorder="1" applyAlignment="1">
      <alignment horizontal="center"/>
    </xf>
    <xf numFmtId="1" fontId="97" fillId="7" borderId="2" xfId="0" applyNumberFormat="1" applyFont="1" applyFill="1" applyBorder="1" applyAlignment="1">
      <alignment horizontal="center"/>
    </xf>
    <xf numFmtId="14" fontId="97" fillId="7" borderId="2" xfId="0" applyNumberFormat="1" applyFont="1" applyFill="1" applyBorder="1" applyAlignment="1">
      <alignment horizontal="center"/>
    </xf>
    <xf numFmtId="0" fontId="97" fillId="9" borderId="2" xfId="0" applyFont="1" applyFill="1" applyBorder="1" applyAlignment="1">
      <alignment wrapText="1"/>
    </xf>
    <xf numFmtId="194" fontId="97" fillId="9" borderId="2" xfId="0" applyNumberFormat="1" applyFont="1" applyFill="1" applyBorder="1"/>
    <xf numFmtId="3" fontId="100" fillId="4" borderId="2" xfId="0" applyNumberFormat="1" applyFont="1" applyFill="1" applyBorder="1"/>
    <xf numFmtId="3" fontId="100" fillId="4" borderId="14" xfId="0" applyNumberFormat="1" applyFont="1" applyFill="1" applyBorder="1"/>
    <xf numFmtId="3" fontId="111" fillId="4" borderId="2" xfId="0" applyNumberFormat="1" applyFont="1" applyFill="1" applyBorder="1"/>
    <xf numFmtId="3" fontId="111" fillId="4" borderId="14" xfId="0" applyNumberFormat="1" applyFont="1" applyFill="1" applyBorder="1"/>
    <xf numFmtId="3" fontId="111" fillId="4" borderId="9" xfId="0" applyNumberFormat="1" applyFont="1" applyFill="1" applyBorder="1"/>
    <xf numFmtId="3" fontId="111" fillId="4" borderId="10" xfId="0" applyNumberFormat="1" applyFont="1" applyFill="1" applyBorder="1"/>
    <xf numFmtId="3" fontId="100" fillId="4" borderId="9" xfId="0" applyNumberFormat="1" applyFont="1" applyFill="1" applyBorder="1"/>
    <xf numFmtId="3" fontId="100" fillId="4" borderId="10" xfId="0" applyNumberFormat="1" applyFont="1" applyFill="1" applyBorder="1"/>
    <xf numFmtId="0" fontId="10" fillId="5" borderId="2" xfId="0" applyFont="1" applyFill="1" applyBorder="1"/>
    <xf numFmtId="0" fontId="126" fillId="4" borderId="2" xfId="0" applyFont="1" applyFill="1" applyBorder="1" applyAlignment="1">
      <alignment horizontal="center" vertical="center" wrapText="1"/>
    </xf>
    <xf numFmtId="0" fontId="98" fillId="4" borderId="2" xfId="0" applyFont="1" applyFill="1" applyBorder="1" applyAlignment="1">
      <alignment horizontal="center" vertical="center" wrapText="1"/>
    </xf>
    <xf numFmtId="1" fontId="98" fillId="4" borderId="2" xfId="0" applyNumberFormat="1" applyFont="1" applyFill="1" applyBorder="1" applyAlignment="1">
      <alignment horizontal="center" vertical="center" wrapText="1"/>
    </xf>
    <xf numFmtId="0" fontId="74" fillId="0" borderId="0" xfId="0" applyFont="1" applyBorder="1" applyAlignment="1">
      <alignment vertical="center"/>
    </xf>
    <xf numFmtId="0" fontId="17" fillId="0" borderId="0" xfId="0" applyFont="1" applyAlignment="1">
      <alignment vertical="center"/>
    </xf>
    <xf numFmtId="0" fontId="0" fillId="0" borderId="0" xfId="0" applyAlignment="1">
      <alignment vertical="center"/>
    </xf>
    <xf numFmtId="0" fontId="18" fillId="0" borderId="0" xfId="0" applyFont="1" applyAlignment="1">
      <alignment horizontal="center" vertical="center"/>
    </xf>
    <xf numFmtId="0" fontId="76" fillId="0" borderId="0" xfId="0" applyFont="1" applyAlignment="1">
      <alignment vertical="center"/>
    </xf>
    <xf numFmtId="0" fontId="17" fillId="4" borderId="2" xfId="0" applyFont="1" applyFill="1" applyBorder="1" applyAlignment="1">
      <alignment horizontal="center" vertical="center"/>
    </xf>
    <xf numFmtId="0" fontId="17" fillId="4" borderId="2" xfId="0" applyFont="1" applyFill="1" applyBorder="1" applyAlignment="1">
      <alignment vertical="center"/>
    </xf>
    <xf numFmtId="14" fontId="17" fillId="4" borderId="2" xfId="0" applyNumberFormat="1" applyFont="1" applyFill="1" applyBorder="1" applyAlignment="1">
      <alignment horizontal="center" vertical="center"/>
    </xf>
    <xf numFmtId="0" fontId="17" fillId="4" borderId="2" xfId="0" applyFont="1" applyFill="1" applyBorder="1" applyAlignment="1">
      <alignment horizontal="right" vertical="center"/>
    </xf>
    <xf numFmtId="0" fontId="17" fillId="5" borderId="2" xfId="0" applyFont="1" applyFill="1" applyBorder="1" applyAlignment="1">
      <alignment horizontal="right" vertical="center"/>
    </xf>
    <xf numFmtId="3" fontId="17" fillId="5" borderId="2" xfId="0" applyNumberFormat="1" applyFont="1" applyFill="1" applyBorder="1" applyAlignment="1">
      <alignment horizontal="right" vertical="center"/>
    </xf>
    <xf numFmtId="0" fontId="17" fillId="5" borderId="2" xfId="0" applyFont="1" applyFill="1" applyBorder="1" applyAlignment="1">
      <alignment horizontal="center" vertical="center"/>
    </xf>
    <xf numFmtId="0" fontId="17" fillId="0" borderId="0" xfId="0" applyFont="1" applyBorder="1" applyAlignment="1">
      <alignment vertical="center"/>
    </xf>
    <xf numFmtId="0" fontId="17" fillId="4" borderId="12" xfId="0" applyFont="1" applyFill="1" applyBorder="1" applyAlignment="1">
      <alignment vertical="center"/>
    </xf>
    <xf numFmtId="0" fontId="17" fillId="4" borderId="14" xfId="0" applyFont="1" applyFill="1" applyBorder="1" applyAlignment="1">
      <alignment horizontal="center" vertical="center"/>
    </xf>
    <xf numFmtId="0" fontId="88" fillId="9" borderId="0" xfId="0" applyFont="1" applyFill="1" applyAlignment="1">
      <alignment vertical="center"/>
    </xf>
    <xf numFmtId="0" fontId="17" fillId="9" borderId="0" xfId="0" applyFont="1" applyFill="1" applyAlignment="1">
      <alignment vertical="center"/>
    </xf>
    <xf numFmtId="0" fontId="17" fillId="9" borderId="0" xfId="0" quotePrefix="1" applyFont="1" applyFill="1" applyAlignment="1">
      <alignment vertical="center"/>
    </xf>
    <xf numFmtId="0" fontId="17" fillId="4" borderId="13" xfId="0" applyFont="1" applyFill="1" applyBorder="1" applyAlignment="1">
      <alignment vertical="center"/>
    </xf>
    <xf numFmtId="0" fontId="17" fillId="4" borderId="10" xfId="0" applyFont="1" applyFill="1" applyBorder="1" applyAlignment="1">
      <alignment horizontal="center" vertical="center"/>
    </xf>
    <xf numFmtId="3" fontId="76" fillId="0" borderId="0" xfId="0" applyNumberFormat="1" applyFont="1" applyAlignment="1">
      <alignment horizontal="left" vertical="center"/>
    </xf>
    <xf numFmtId="0" fontId="4" fillId="14" borderId="14" xfId="0" applyFont="1" applyFill="1" applyBorder="1" applyAlignment="1">
      <alignment horizontal="center"/>
    </xf>
    <xf numFmtId="0" fontId="4" fillId="14" borderId="10" xfId="0" applyFont="1" applyFill="1" applyBorder="1" applyAlignment="1">
      <alignment horizontal="center"/>
    </xf>
    <xf numFmtId="0" fontId="5" fillId="0" borderId="0" xfId="0" applyFont="1" applyBorder="1" applyAlignment="1">
      <alignment vertical="center"/>
    </xf>
    <xf numFmtId="0" fontId="4" fillId="4" borderId="2" xfId="0" applyFont="1" applyFill="1" applyBorder="1" applyAlignment="1">
      <alignment horizontal="left" vertical="center"/>
    </xf>
    <xf numFmtId="20" fontId="4" fillId="5" borderId="2" xfId="0" applyNumberFormat="1" applyFont="1" applyFill="1" applyBorder="1" applyAlignment="1">
      <alignment horizontal="center" vertical="center"/>
    </xf>
    <xf numFmtId="198" fontId="4" fillId="4" borderId="2" xfId="0" applyNumberFormat="1" applyFont="1" applyFill="1" applyBorder="1" applyAlignment="1">
      <alignment horizontal="center" vertical="center"/>
    </xf>
    <xf numFmtId="199" fontId="4" fillId="4" borderId="2" xfId="0" applyNumberFormat="1" applyFont="1" applyFill="1" applyBorder="1" applyAlignment="1">
      <alignment horizontal="center" vertical="center"/>
    </xf>
    <xf numFmtId="0" fontId="12" fillId="0" borderId="0" xfId="0" applyFont="1" applyAlignment="1">
      <alignment vertical="center"/>
    </xf>
    <xf numFmtId="0" fontId="13" fillId="0" borderId="0" xfId="0" quotePrefix="1" applyFont="1" applyAlignment="1">
      <alignment vertical="center"/>
    </xf>
    <xf numFmtId="0" fontId="13" fillId="0" borderId="0" xfId="0" applyFont="1" applyAlignment="1">
      <alignment vertical="center"/>
    </xf>
    <xf numFmtId="0" fontId="4" fillId="5" borderId="2" xfId="0" applyFont="1" applyFill="1" applyBorder="1" applyAlignment="1">
      <alignment horizontal="left" vertical="center"/>
    </xf>
    <xf numFmtId="20" fontId="4" fillId="4" borderId="2" xfId="0" applyNumberFormat="1" applyFont="1" applyFill="1" applyBorder="1" applyAlignment="1">
      <alignment horizontal="center" vertical="center"/>
    </xf>
    <xf numFmtId="0" fontId="4" fillId="5" borderId="2" xfId="0" applyNumberFormat="1" applyFont="1" applyFill="1" applyBorder="1" applyAlignment="1">
      <alignment horizontal="center" vertical="center"/>
    </xf>
    <xf numFmtId="0" fontId="4" fillId="0" borderId="0" xfId="0" applyFont="1" applyFill="1" applyAlignment="1">
      <alignment vertical="center"/>
    </xf>
    <xf numFmtId="0" fontId="159" fillId="2" borderId="0" xfId="0" applyFont="1" applyFill="1" applyAlignment="1">
      <alignment vertical="center"/>
    </xf>
    <xf numFmtId="0" fontId="160" fillId="2" borderId="0" xfId="0" applyFont="1" applyFill="1" applyAlignment="1">
      <alignment vertical="center"/>
    </xf>
    <xf numFmtId="0" fontId="159" fillId="2" borderId="0" xfId="0" quotePrefix="1" applyFont="1" applyFill="1" applyAlignment="1">
      <alignment vertical="center"/>
    </xf>
    <xf numFmtId="0" fontId="161" fillId="0" borderId="0" xfId="0" applyFont="1" applyAlignment="1">
      <alignment vertical="center"/>
    </xf>
    <xf numFmtId="44" fontId="4" fillId="0" borderId="0" xfId="2" applyFont="1" applyAlignment="1">
      <alignment vertical="center"/>
    </xf>
    <xf numFmtId="0" fontId="10" fillId="4" borderId="2" xfId="0" applyFont="1" applyFill="1" applyBorder="1" applyAlignment="1">
      <alignment horizontal="center" vertical="center"/>
    </xf>
    <xf numFmtId="0" fontId="162" fillId="5" borderId="2" xfId="0" applyFont="1" applyFill="1" applyBorder="1" applyAlignment="1">
      <alignment horizontal="right" vertical="center"/>
    </xf>
    <xf numFmtId="3" fontId="162" fillId="5" borderId="2" xfId="0" applyNumberFormat="1" applyFont="1" applyFill="1" applyBorder="1" applyAlignment="1">
      <alignment horizontal="right" vertical="center"/>
    </xf>
    <xf numFmtId="0" fontId="162" fillId="5" borderId="2" xfId="0" applyFont="1" applyFill="1" applyBorder="1" applyAlignment="1">
      <alignment horizontal="center" vertical="center"/>
    </xf>
    <xf numFmtId="0" fontId="163" fillId="0" borderId="0" xfId="0" applyFont="1" applyAlignment="1">
      <alignment vertical="center" wrapText="1"/>
    </xf>
    <xf numFmtId="0" fontId="159" fillId="0" borderId="0" xfId="0" applyFont="1" applyAlignment="1">
      <alignment vertical="center"/>
    </xf>
    <xf numFmtId="0" fontId="163" fillId="0" borderId="0" xfId="0" applyFont="1" applyAlignment="1">
      <alignment vertical="center"/>
    </xf>
    <xf numFmtId="14" fontId="164" fillId="12" borderId="2" xfId="0" applyNumberFormat="1" applyFont="1" applyFill="1" applyBorder="1" applyAlignment="1">
      <alignment horizontal="center" vertical="center" wrapText="1"/>
    </xf>
    <xf numFmtId="0" fontId="164" fillId="12" borderId="2" xfId="0" applyFont="1" applyFill="1" applyBorder="1" applyAlignment="1">
      <alignment horizontal="center" vertical="center" wrapText="1"/>
    </xf>
    <xf numFmtId="0" fontId="164" fillId="12" borderId="2" xfId="0" applyFont="1" applyFill="1" applyBorder="1" applyAlignment="1">
      <alignment horizontal="center" vertical="center"/>
    </xf>
    <xf numFmtId="0" fontId="163" fillId="5" borderId="2" xfId="0" applyFont="1" applyFill="1" applyBorder="1" applyAlignment="1">
      <alignment horizontal="center" vertical="center"/>
    </xf>
    <xf numFmtId="0" fontId="159" fillId="5" borderId="2" xfId="0" applyFont="1" applyFill="1" applyBorder="1" applyAlignment="1">
      <alignment vertical="center"/>
    </xf>
    <xf numFmtId="0" fontId="159" fillId="4" borderId="2" xfId="0" applyFont="1" applyFill="1" applyBorder="1" applyAlignment="1">
      <alignment vertical="center"/>
    </xf>
    <xf numFmtId="0" fontId="163" fillId="2" borderId="0" xfId="0" applyFont="1" applyFill="1" applyAlignment="1">
      <alignment vertical="center"/>
    </xf>
    <xf numFmtId="0" fontId="165" fillId="4" borderId="2" xfId="0" applyFont="1" applyFill="1" applyBorder="1" applyAlignment="1">
      <alignment vertical="center"/>
    </xf>
    <xf numFmtId="0" fontId="163" fillId="4" borderId="2" xfId="0" applyFont="1" applyFill="1" applyBorder="1" applyAlignment="1">
      <alignment vertical="center"/>
    </xf>
    <xf numFmtId="14" fontId="159" fillId="5" borderId="2" xfId="0" applyNumberFormat="1" applyFont="1" applyFill="1" applyBorder="1" applyAlignment="1">
      <alignment vertical="center"/>
    </xf>
    <xf numFmtId="0" fontId="159" fillId="5" borderId="2" xfId="0" applyFont="1" applyFill="1" applyBorder="1" applyAlignment="1">
      <alignment horizontal="center" vertical="center"/>
    </xf>
    <xf numFmtId="0" fontId="6" fillId="14" borderId="37" xfId="0" applyFont="1" applyFill="1" applyBorder="1" applyAlignment="1">
      <alignment horizontal="center" vertical="center"/>
    </xf>
    <xf numFmtId="0" fontId="6" fillId="14" borderId="15" xfId="0" applyFont="1" applyFill="1" applyBorder="1" applyAlignment="1">
      <alignment horizontal="center" vertical="center"/>
    </xf>
    <xf numFmtId="0" fontId="6" fillId="0" borderId="1" xfId="0" applyFont="1" applyFill="1" applyBorder="1" applyAlignment="1">
      <alignment horizontal="center" vertical="center"/>
    </xf>
    <xf numFmtId="0" fontId="85" fillId="11" borderId="2" xfId="0" applyFont="1" applyFill="1" applyBorder="1" applyAlignment="1">
      <alignment horizontal="center" vertical="center"/>
    </xf>
    <xf numFmtId="0" fontId="87" fillId="11" borderId="2" xfId="0" applyFont="1" applyFill="1" applyBorder="1" applyAlignment="1">
      <alignment horizontal="center" vertical="center"/>
    </xf>
    <xf numFmtId="0" fontId="6" fillId="5" borderId="2" xfId="0" applyFont="1" applyFill="1" applyBorder="1" applyAlignment="1">
      <alignment vertical="center"/>
    </xf>
    <xf numFmtId="2" fontId="4" fillId="4" borderId="2" xfId="0" applyNumberFormat="1" applyFont="1" applyFill="1" applyBorder="1" applyAlignment="1">
      <alignment horizontal="center" vertical="center"/>
    </xf>
    <xf numFmtId="0" fontId="6" fillId="5" borderId="12" xfId="0" applyFont="1" applyFill="1" applyBorder="1" applyAlignment="1">
      <alignment vertical="center"/>
    </xf>
    <xf numFmtId="0" fontId="6" fillId="5" borderId="13" xfId="0" applyFont="1" applyFill="1" applyBorder="1" applyAlignment="1">
      <alignment vertical="center"/>
    </xf>
    <xf numFmtId="0" fontId="6" fillId="5" borderId="9" xfId="0" applyFont="1" applyFill="1" applyBorder="1" applyAlignment="1">
      <alignment vertical="center"/>
    </xf>
    <xf numFmtId="0" fontId="162" fillId="4" borderId="2" xfId="0" applyFont="1" applyFill="1" applyBorder="1" applyAlignment="1">
      <alignment vertical="center"/>
    </xf>
    <xf numFmtId="0" fontId="166" fillId="4" borderId="2" xfId="0" applyFont="1" applyFill="1" applyBorder="1" applyAlignment="1">
      <alignment vertical="center"/>
    </xf>
    <xf numFmtId="0" fontId="167" fillId="5" borderId="2" xfId="0" applyFont="1" applyFill="1" applyBorder="1" applyAlignment="1">
      <alignment horizontal="center" vertical="center"/>
    </xf>
    <xf numFmtId="180" fontId="105" fillId="4" borderId="2" xfId="0" applyNumberFormat="1" applyFont="1" applyFill="1" applyBorder="1" applyAlignment="1">
      <alignment vertical="center"/>
    </xf>
    <xf numFmtId="0" fontId="4" fillId="2" borderId="0" xfId="0" quotePrefix="1" applyFont="1" applyFill="1" applyAlignment="1">
      <alignment horizontal="left" vertical="center"/>
    </xf>
    <xf numFmtId="0" fontId="143" fillId="0" borderId="0" xfId="0" applyFont="1" applyAlignment="1">
      <alignment vertical="center"/>
    </xf>
    <xf numFmtId="0" fontId="30" fillId="5" borderId="2" xfId="0" applyFont="1" applyFill="1" applyBorder="1" applyAlignment="1">
      <alignment horizontal="center" vertical="center" wrapText="1"/>
    </xf>
    <xf numFmtId="0" fontId="17" fillId="14" borderId="2" xfId="0" applyFont="1" applyFill="1" applyBorder="1" applyAlignment="1">
      <alignment horizontal="center" vertical="center"/>
    </xf>
    <xf numFmtId="0" fontId="168" fillId="9" borderId="2" xfId="0" applyFont="1" applyFill="1" applyBorder="1"/>
    <xf numFmtId="0" fontId="168" fillId="9" borderId="2" xfId="0" applyFont="1" applyFill="1" applyBorder="1" applyAlignment="1">
      <alignment horizontal="center" vertical="center"/>
    </xf>
    <xf numFmtId="3" fontId="144" fillId="0" borderId="2" xfId="0" applyNumberFormat="1" applyFont="1" applyBorder="1" applyAlignment="1">
      <alignment vertical="center"/>
    </xf>
    <xf numFmtId="0" fontId="30" fillId="0" borderId="0" xfId="0" applyFont="1" applyAlignment="1">
      <alignment horizontal="right" vertical="center"/>
    </xf>
    <xf numFmtId="0" fontId="30" fillId="0" borderId="0" xfId="0" applyFont="1" applyAlignment="1">
      <alignment vertical="center"/>
    </xf>
    <xf numFmtId="0" fontId="76" fillId="2" borderId="0" xfId="0" applyFont="1" applyFill="1" applyAlignment="1">
      <alignment horizontal="center" vertical="center"/>
    </xf>
    <xf numFmtId="0" fontId="17" fillId="2" borderId="0" xfId="0" applyFont="1" applyFill="1" applyAlignment="1">
      <alignment vertical="center"/>
    </xf>
    <xf numFmtId="0" fontId="145" fillId="2" borderId="0" xfId="0" applyFont="1" applyFill="1" applyAlignment="1">
      <alignment horizontal="center" vertical="center"/>
    </xf>
    <xf numFmtId="0" fontId="17" fillId="2" borderId="0" xfId="0" applyFont="1" applyFill="1" applyAlignment="1">
      <alignment horizontal="left" vertical="center"/>
    </xf>
    <xf numFmtId="0" fontId="17" fillId="2" borderId="0" xfId="0" applyFont="1" applyFill="1" applyAlignment="1">
      <alignment horizontal="center" vertical="center"/>
    </xf>
    <xf numFmtId="0" fontId="17" fillId="2" borderId="0" xfId="0" quotePrefix="1" applyFont="1" applyFill="1" applyAlignment="1">
      <alignment vertical="center"/>
    </xf>
    <xf numFmtId="0" fontId="17" fillId="2" borderId="0" xfId="0" applyFont="1" applyFill="1" applyBorder="1" applyAlignment="1">
      <alignment vertical="center"/>
    </xf>
    <xf numFmtId="0" fontId="145" fillId="0" borderId="0" xfId="0" applyFont="1" applyAlignment="1">
      <alignment vertical="center"/>
    </xf>
    <xf numFmtId="214" fontId="168" fillId="9" borderId="2" xfId="0" applyNumberFormat="1" applyFont="1" applyFill="1" applyBorder="1" applyAlignment="1">
      <alignment horizontal="center"/>
    </xf>
    <xf numFmtId="0" fontId="164" fillId="10" borderId="2" xfId="0" applyFont="1" applyFill="1" applyBorder="1" applyAlignment="1">
      <alignment horizontal="center" vertical="center" wrapText="1"/>
    </xf>
    <xf numFmtId="0" fontId="164" fillId="10" borderId="2" xfId="0" applyFont="1" applyFill="1" applyBorder="1" applyAlignment="1">
      <alignment vertical="center" wrapText="1"/>
    </xf>
    <xf numFmtId="0" fontId="164" fillId="10" borderId="2" xfId="0" applyFont="1" applyFill="1" applyBorder="1" applyAlignment="1">
      <alignment horizontal="center" vertical="center"/>
    </xf>
    <xf numFmtId="0" fontId="159" fillId="0" borderId="0" xfId="0" applyFont="1"/>
    <xf numFmtId="0" fontId="169" fillId="0" borderId="0" xfId="0" applyFont="1" applyAlignment="1">
      <alignment vertical="center"/>
    </xf>
    <xf numFmtId="0" fontId="169" fillId="0" borderId="0" xfId="0" applyFont="1"/>
    <xf numFmtId="0" fontId="4" fillId="14" borderId="2" xfId="0" applyFont="1" applyFill="1" applyBorder="1" applyAlignment="1">
      <alignment horizontal="center" vertical="center"/>
    </xf>
    <xf numFmtId="0" fontId="4" fillId="14" borderId="2" xfId="0" applyFont="1" applyFill="1" applyBorder="1" applyAlignment="1">
      <alignment horizontal="left" vertical="center"/>
    </xf>
    <xf numFmtId="3" fontId="4" fillId="14" borderId="2" xfId="0" applyNumberFormat="1" applyFont="1" applyFill="1" applyBorder="1" applyAlignment="1">
      <alignment horizontal="right" vertical="center"/>
    </xf>
    <xf numFmtId="3" fontId="4" fillId="9" borderId="2" xfId="0" applyNumberFormat="1" applyFont="1" applyFill="1" applyBorder="1" applyAlignment="1">
      <alignment vertical="center"/>
    </xf>
    <xf numFmtId="3" fontId="4" fillId="14" borderId="2" xfId="0" applyNumberFormat="1" applyFont="1" applyFill="1" applyBorder="1" applyAlignment="1">
      <alignment horizontal="center" vertical="center"/>
    </xf>
    <xf numFmtId="0" fontId="4" fillId="2" borderId="0" xfId="0" applyFont="1" applyFill="1" applyBorder="1" applyAlignment="1">
      <alignment horizontal="center" vertical="center"/>
    </xf>
    <xf numFmtId="3" fontId="170" fillId="9" borderId="2" xfId="0" applyNumberFormat="1" applyFont="1" applyFill="1" applyBorder="1" applyAlignment="1">
      <alignment horizontal="right" vertical="center"/>
    </xf>
    <xf numFmtId="3" fontId="170" fillId="9" borderId="2" xfId="0" applyNumberFormat="1" applyFont="1" applyFill="1" applyBorder="1" applyAlignment="1">
      <alignment vertical="center"/>
    </xf>
    <xf numFmtId="0" fontId="44" fillId="9" borderId="2" xfId="0" applyFont="1" applyFill="1" applyBorder="1" applyAlignment="1">
      <alignment horizontal="center" vertical="center"/>
    </xf>
    <xf numFmtId="0" fontId="150" fillId="9" borderId="2" xfId="0" applyFont="1" applyFill="1" applyBorder="1" applyAlignment="1">
      <alignment horizontal="center" vertical="center"/>
    </xf>
    <xf numFmtId="0" fontId="26" fillId="9" borderId="2" xfId="0" applyFont="1" applyFill="1" applyBorder="1" applyAlignment="1">
      <alignment horizontal="center" vertical="center" wrapText="1"/>
    </xf>
    <xf numFmtId="0" fontId="26" fillId="9" borderId="2" xfId="0" applyFont="1" applyFill="1" applyBorder="1" applyAlignment="1">
      <alignment horizontal="center" vertical="center"/>
    </xf>
    <xf numFmtId="0" fontId="151" fillId="9" borderId="2" xfId="0" applyFont="1" applyFill="1" applyBorder="1" applyAlignment="1">
      <alignment horizontal="center" vertical="center"/>
    </xf>
    <xf numFmtId="0" fontId="46" fillId="3" borderId="2" xfId="0" applyFont="1" applyFill="1" applyBorder="1" applyAlignment="1">
      <alignment horizontal="center" vertical="center"/>
    </xf>
    <xf numFmtId="3" fontId="162" fillId="14" borderId="2" xfId="0" applyNumberFormat="1" applyFont="1" applyFill="1" applyBorder="1" applyAlignment="1">
      <alignment horizontal="right" vertical="center"/>
    </xf>
    <xf numFmtId="3" fontId="162" fillId="9" borderId="2" xfId="0" applyNumberFormat="1" applyFont="1" applyFill="1" applyBorder="1" applyAlignment="1">
      <alignment vertical="center"/>
    </xf>
    <xf numFmtId="3" fontId="162" fillId="14" borderId="2" xfId="0" applyNumberFormat="1" applyFont="1" applyFill="1" applyBorder="1" applyAlignment="1">
      <alignment horizontal="center" vertical="center"/>
    </xf>
    <xf numFmtId="0" fontId="36" fillId="3" borderId="2" xfId="0" applyFont="1" applyFill="1" applyBorder="1" applyAlignment="1">
      <alignment horizontal="center" vertical="center" wrapText="1"/>
    </xf>
    <xf numFmtId="0" fontId="43" fillId="0" borderId="0" xfId="0" applyFont="1" applyAlignment="1">
      <alignment horizontal="center" vertical="center"/>
    </xf>
    <xf numFmtId="0" fontId="57" fillId="0" borderId="0" xfId="0" applyFont="1" applyAlignment="1">
      <alignment vertical="center"/>
    </xf>
    <xf numFmtId="0" fontId="45" fillId="2" borderId="0" xfId="0" applyFont="1" applyFill="1" applyAlignment="1">
      <alignment vertical="center" wrapText="1"/>
    </xf>
    <xf numFmtId="0" fontId="32" fillId="3" borderId="5" xfId="0" applyFont="1" applyFill="1" applyBorder="1" applyAlignment="1">
      <alignment horizontal="center" vertical="center"/>
    </xf>
    <xf numFmtId="0" fontId="44" fillId="3" borderId="7" xfId="0" applyFont="1" applyFill="1" applyBorder="1" applyAlignment="1">
      <alignment horizontal="center" vertical="center" wrapText="1"/>
    </xf>
    <xf numFmtId="0" fontId="4" fillId="9" borderId="14" xfId="0" applyFont="1" applyFill="1" applyBorder="1" applyAlignment="1">
      <alignment vertical="center"/>
    </xf>
    <xf numFmtId="10" fontId="4" fillId="9" borderId="14" xfId="0" applyNumberFormat="1" applyFont="1" applyFill="1" applyBorder="1" applyAlignment="1">
      <alignment vertical="center"/>
    </xf>
    <xf numFmtId="10" fontId="4" fillId="9" borderId="10" xfId="0" applyNumberFormat="1" applyFont="1" applyFill="1" applyBorder="1" applyAlignment="1">
      <alignment vertical="center"/>
    </xf>
    <xf numFmtId="0" fontId="73" fillId="3" borderId="5" xfId="0" applyFont="1" applyFill="1" applyBorder="1" applyAlignment="1">
      <alignment horizontal="center" vertical="center" wrapText="1"/>
    </xf>
    <xf numFmtId="0" fontId="73" fillId="3" borderId="6" xfId="0" applyFont="1" applyFill="1" applyBorder="1" applyAlignment="1">
      <alignment horizontal="center" vertical="center" wrapText="1"/>
    </xf>
    <xf numFmtId="0" fontId="73" fillId="3" borderId="7" xfId="0" applyFont="1" applyFill="1" applyBorder="1" applyAlignment="1">
      <alignment horizontal="center" vertical="center" wrapText="1"/>
    </xf>
    <xf numFmtId="0" fontId="53" fillId="9" borderId="12" xfId="0" applyFont="1" applyFill="1" applyBorder="1" applyAlignment="1">
      <alignment horizontal="center" vertical="center"/>
    </xf>
    <xf numFmtId="3" fontId="41" fillId="2" borderId="0" xfId="0" applyNumberFormat="1" applyFont="1" applyFill="1" applyAlignment="1">
      <alignment vertical="center"/>
    </xf>
    <xf numFmtId="0" fontId="18" fillId="14" borderId="2" xfId="0" applyNumberFormat="1" applyFont="1" applyFill="1" applyBorder="1" applyAlignment="1">
      <alignment vertical="center"/>
    </xf>
    <xf numFmtId="3" fontId="18" fillId="14" borderId="2" xfId="0" applyNumberFormat="1" applyFont="1" applyFill="1" applyBorder="1" applyAlignment="1">
      <alignment horizontal="right" vertical="center"/>
    </xf>
    <xf numFmtId="3" fontId="18" fillId="14" borderId="2" xfId="0" quotePrefix="1" applyNumberFormat="1" applyFont="1" applyFill="1" applyBorder="1" applyAlignment="1">
      <alignment horizontal="right" vertical="center"/>
    </xf>
    <xf numFmtId="3" fontId="162" fillId="14" borderId="2" xfId="0" applyNumberFormat="1" applyFont="1" applyFill="1" applyBorder="1" applyAlignment="1">
      <alignment vertical="center"/>
    </xf>
    <xf numFmtId="14" fontId="4" fillId="0" borderId="0" xfId="0" applyNumberFormat="1" applyFont="1" applyAlignment="1">
      <alignment horizontal="center" vertical="center"/>
    </xf>
    <xf numFmtId="0" fontId="4" fillId="14" borderId="12" xfId="0" applyFont="1" applyFill="1" applyBorder="1" applyAlignment="1">
      <alignment horizontal="right" vertical="center"/>
    </xf>
    <xf numFmtId="10" fontId="4" fillId="14" borderId="12" xfId="0" applyNumberFormat="1" applyFont="1" applyFill="1" applyBorder="1" applyAlignment="1">
      <alignment horizontal="right" vertical="center"/>
    </xf>
    <xf numFmtId="10" fontId="4" fillId="14" borderId="13" xfId="0" applyNumberFormat="1" applyFont="1" applyFill="1" applyBorder="1" applyAlignment="1">
      <alignment horizontal="right" vertical="center"/>
    </xf>
    <xf numFmtId="0" fontId="4" fillId="9" borderId="2" xfId="0" applyFont="1" applyFill="1" applyBorder="1" applyAlignment="1">
      <alignment horizontal="left" vertical="center"/>
    </xf>
    <xf numFmtId="14" fontId="4" fillId="9" borderId="2" xfId="0" applyNumberFormat="1" applyFont="1" applyFill="1" applyBorder="1" applyAlignment="1">
      <alignment horizontal="right" vertical="center"/>
    </xf>
    <xf numFmtId="0" fontId="171" fillId="9" borderId="13" xfId="0" applyFont="1" applyFill="1" applyBorder="1" applyAlignment="1">
      <alignment horizontal="center" vertical="center"/>
    </xf>
    <xf numFmtId="3" fontId="4" fillId="14" borderId="2" xfId="0" applyNumberFormat="1" applyFont="1" applyFill="1" applyBorder="1" applyAlignment="1">
      <alignment vertical="center"/>
    </xf>
    <xf numFmtId="3" fontId="4" fillId="14" borderId="14" xfId="0" applyNumberFormat="1" applyFont="1" applyFill="1" applyBorder="1" applyAlignment="1">
      <alignment vertical="center"/>
    </xf>
    <xf numFmtId="3" fontId="171" fillId="14" borderId="9" xfId="0" applyNumberFormat="1" applyFont="1" applyFill="1" applyBorder="1" applyAlignment="1">
      <alignment vertical="center"/>
    </xf>
    <xf numFmtId="3" fontId="171" fillId="14" borderId="10" xfId="0" applyNumberFormat="1" applyFont="1" applyFill="1" applyBorder="1" applyAlignment="1">
      <alignment vertical="center"/>
    </xf>
    <xf numFmtId="0" fontId="32" fillId="2" borderId="0" xfId="0" applyFont="1" applyFill="1" applyAlignment="1">
      <alignment horizontal="center" vertical="center" wrapText="1"/>
    </xf>
    <xf numFmtId="3" fontId="4" fillId="4" borderId="2" xfId="0" applyNumberFormat="1" applyFont="1" applyFill="1" applyBorder="1" applyAlignment="1">
      <alignment vertical="center"/>
    </xf>
    <xf numFmtId="0" fontId="4" fillId="0" borderId="0" xfId="0" applyNumberFormat="1" applyFont="1" applyBorder="1" applyAlignment="1">
      <alignment vertical="center"/>
    </xf>
    <xf numFmtId="0" fontId="26" fillId="2" borderId="2" xfId="0" applyFont="1" applyFill="1" applyBorder="1" applyAlignment="1">
      <alignment vertical="center"/>
    </xf>
    <xf numFmtId="0" fontId="32" fillId="5" borderId="2" xfId="0" applyFont="1" applyFill="1" applyBorder="1" applyAlignment="1">
      <alignment vertical="center"/>
    </xf>
    <xf numFmtId="3" fontId="32" fillId="5" borderId="2" xfId="0" applyNumberFormat="1" applyFont="1" applyFill="1" applyBorder="1" applyAlignment="1">
      <alignment vertical="center"/>
    </xf>
    <xf numFmtId="14" fontId="32" fillId="0" borderId="0" xfId="0" applyNumberFormat="1" applyFont="1" applyAlignment="1">
      <alignment vertical="center"/>
    </xf>
    <xf numFmtId="0" fontId="26" fillId="3" borderId="2" xfId="0" applyFont="1" applyFill="1" applyBorder="1" applyAlignment="1">
      <alignment horizontal="center" vertical="center"/>
    </xf>
    <xf numFmtId="3" fontId="4" fillId="5" borderId="2" xfId="0" applyNumberFormat="1" applyFont="1" applyFill="1" applyBorder="1" applyAlignment="1">
      <alignment horizontal="center" vertical="center"/>
    </xf>
    <xf numFmtId="0" fontId="32" fillId="2" borderId="0" xfId="0" applyFont="1" applyFill="1" applyAlignment="1">
      <alignment vertical="center"/>
    </xf>
    <xf numFmtId="0" fontId="36" fillId="0" borderId="0" xfId="0" applyFont="1" applyFill="1" applyBorder="1" applyAlignment="1">
      <alignment horizontal="center" vertical="center"/>
    </xf>
    <xf numFmtId="0" fontId="4" fillId="0" borderId="0" xfId="0" applyFont="1" applyFill="1" applyBorder="1" applyAlignment="1">
      <alignment vertical="center"/>
    </xf>
    <xf numFmtId="0" fontId="41" fillId="0" borderId="0" xfId="0" applyFont="1" applyFill="1" applyBorder="1" applyAlignment="1">
      <alignment horizontal="center" vertical="center"/>
    </xf>
    <xf numFmtId="0" fontId="36" fillId="0" borderId="0" xfId="0" applyFont="1" applyBorder="1" applyAlignment="1">
      <alignment horizontal="center" vertical="center"/>
    </xf>
    <xf numFmtId="0" fontId="45" fillId="3" borderId="2" xfId="0" applyFont="1" applyFill="1" applyBorder="1" applyAlignment="1">
      <alignment horizontal="center" vertical="center"/>
    </xf>
    <xf numFmtId="0" fontId="32" fillId="5" borderId="2" xfId="0" applyFont="1" applyFill="1" applyBorder="1" applyAlignment="1">
      <alignment horizontal="center" vertical="center"/>
    </xf>
    <xf numFmtId="3" fontId="162" fillId="4" borderId="2" xfId="0" applyNumberFormat="1" applyFont="1" applyFill="1" applyBorder="1" applyAlignment="1">
      <alignment vertical="center"/>
    </xf>
    <xf numFmtId="0" fontId="43" fillId="0" borderId="0" xfId="0" applyFont="1" applyBorder="1" applyAlignment="1">
      <alignment horizontal="center" vertical="center"/>
    </xf>
    <xf numFmtId="0" fontId="43" fillId="0" borderId="2" xfId="0" applyFont="1" applyBorder="1" applyAlignment="1">
      <alignment horizontal="center" vertical="center"/>
    </xf>
    <xf numFmtId="3" fontId="32" fillId="0" borderId="2" xfId="0" applyNumberFormat="1" applyFont="1" applyBorder="1" applyAlignment="1">
      <alignment vertical="center"/>
    </xf>
    <xf numFmtId="210" fontId="97" fillId="7" borderId="2" xfId="0" applyNumberFormat="1" applyFont="1" applyFill="1" applyBorder="1"/>
    <xf numFmtId="0" fontId="99" fillId="9" borderId="2" xfId="0" applyFont="1" applyFill="1" applyBorder="1" applyAlignment="1">
      <alignment horizontal="center"/>
    </xf>
    <xf numFmtId="0" fontId="97" fillId="7" borderId="2" xfId="0" applyFont="1" applyFill="1" applyBorder="1" applyAlignment="1"/>
    <xf numFmtId="0" fontId="97" fillId="7" borderId="2" xfId="0" applyFont="1" applyFill="1" applyBorder="1" applyAlignment="1">
      <alignment horizontal="center" vertical="center"/>
    </xf>
    <xf numFmtId="0" fontId="97" fillId="9" borderId="2" xfId="0" applyFont="1" applyFill="1" applyBorder="1" applyAlignment="1">
      <alignment horizontal="left" vertical="center"/>
    </xf>
    <xf numFmtId="0" fontId="40" fillId="3" borderId="2" xfId="0" applyFont="1" applyFill="1" applyBorder="1" applyAlignment="1">
      <alignment horizontal="center" vertical="center" wrapText="1"/>
    </xf>
    <xf numFmtId="0" fontId="40" fillId="3" borderId="2" xfId="0" applyFont="1" applyFill="1" applyBorder="1" applyAlignment="1">
      <alignment horizontal="center" vertical="center"/>
    </xf>
    <xf numFmtId="0" fontId="40" fillId="0" borderId="0" xfId="0" applyFont="1" applyBorder="1" applyAlignment="1">
      <alignment horizontal="center" vertical="center"/>
    </xf>
    <xf numFmtId="0" fontId="172" fillId="14" borderId="2" xfId="0" applyFont="1" applyFill="1" applyBorder="1" applyAlignment="1">
      <alignment vertical="center"/>
    </xf>
    <xf numFmtId="0" fontId="38" fillId="9" borderId="2" xfId="0" applyFont="1" applyFill="1" applyBorder="1" applyAlignment="1">
      <alignment horizontal="center" vertical="center"/>
    </xf>
    <xf numFmtId="0" fontId="64" fillId="9" borderId="2" xfId="0" applyFont="1" applyFill="1" applyBorder="1" applyAlignment="1">
      <alignment horizontal="center" vertical="center"/>
    </xf>
    <xf numFmtId="0" fontId="36" fillId="3" borderId="2" xfId="0" applyFont="1" applyFill="1" applyBorder="1" applyAlignment="1">
      <alignment horizontal="center" vertical="center"/>
    </xf>
    <xf numFmtId="0" fontId="36" fillId="9" borderId="2" xfId="0" applyFont="1" applyFill="1" applyBorder="1" applyAlignment="1">
      <alignment horizontal="center" vertical="center"/>
    </xf>
    <xf numFmtId="0" fontId="4" fillId="2" borderId="0" xfId="0" applyFont="1" applyFill="1" applyBorder="1" applyAlignment="1">
      <alignment vertical="center"/>
    </xf>
    <xf numFmtId="0" fontId="41" fillId="2" borderId="0" xfId="0" applyFont="1" applyFill="1" applyBorder="1" applyAlignment="1">
      <alignment vertical="center"/>
    </xf>
    <xf numFmtId="0" fontId="4" fillId="2" borderId="0" xfId="0" quotePrefix="1" applyFont="1" applyFill="1" applyBorder="1" applyAlignment="1">
      <alignment vertical="center"/>
    </xf>
    <xf numFmtId="0" fontId="26" fillId="0" borderId="0" xfId="0" applyFont="1" applyBorder="1" applyAlignment="1">
      <alignment horizontal="center" vertical="center"/>
    </xf>
    <xf numFmtId="0" fontId="4" fillId="5" borderId="2" xfId="0" applyNumberFormat="1" applyFont="1" applyFill="1" applyBorder="1" applyAlignment="1">
      <alignment vertical="center"/>
    </xf>
    <xf numFmtId="216" fontId="4" fillId="4" borderId="2" xfId="0" applyNumberFormat="1" applyFont="1" applyFill="1" applyBorder="1" applyAlignment="1">
      <alignment vertical="center"/>
    </xf>
    <xf numFmtId="0" fontId="161" fillId="4" borderId="2" xfId="0" applyFont="1" applyFill="1" applyBorder="1" applyAlignment="1">
      <alignment vertical="center"/>
    </xf>
    <xf numFmtId="216" fontId="161" fillId="4" borderId="2" xfId="0" applyNumberFormat="1" applyFont="1" applyFill="1" applyBorder="1" applyAlignment="1">
      <alignment vertical="center"/>
    </xf>
    <xf numFmtId="0" fontId="41" fillId="8" borderId="2" xfId="0" applyFont="1" applyFill="1" applyBorder="1" applyAlignment="1">
      <alignment vertical="center"/>
    </xf>
    <xf numFmtId="3" fontId="41" fillId="8" borderId="2" xfId="0" applyNumberFormat="1" applyFont="1" applyFill="1" applyBorder="1" applyAlignment="1">
      <alignment vertical="center"/>
    </xf>
    <xf numFmtId="216" fontId="41" fillId="8" borderId="2" xfId="0" applyNumberFormat="1" applyFont="1" applyFill="1" applyBorder="1" applyAlignment="1">
      <alignment vertical="center"/>
    </xf>
    <xf numFmtId="0" fontId="26" fillId="14" borderId="0" xfId="0" applyFont="1" applyFill="1" applyAlignment="1">
      <alignment horizontal="center" vertical="center"/>
    </xf>
    <xf numFmtId="0" fontId="4" fillId="14" borderId="0" xfId="0" applyFont="1" applyFill="1" applyAlignment="1">
      <alignment vertical="center"/>
    </xf>
    <xf numFmtId="0" fontId="36" fillId="14" borderId="0" xfId="0" applyFont="1" applyFill="1" applyAlignment="1">
      <alignment horizontal="center" vertical="center"/>
    </xf>
    <xf numFmtId="0" fontId="39" fillId="14" borderId="0" xfId="0" applyFont="1" applyFill="1" applyBorder="1" applyAlignment="1">
      <alignment horizontal="center" vertical="center"/>
    </xf>
    <xf numFmtId="0" fontId="4" fillId="14" borderId="0" xfId="0" quotePrefix="1" applyFont="1" applyFill="1" applyAlignment="1">
      <alignment vertical="center"/>
    </xf>
    <xf numFmtId="0" fontId="103" fillId="0" borderId="0" xfId="0" applyFont="1" applyBorder="1" applyAlignment="1">
      <alignment horizontal="right" vertical="center" wrapText="1"/>
    </xf>
    <xf numFmtId="0" fontId="172" fillId="0" borderId="0" xfId="0" applyFont="1" applyAlignment="1">
      <alignment vertical="center"/>
    </xf>
    <xf numFmtId="0" fontId="117" fillId="17" borderId="2" xfId="0" applyFont="1" applyFill="1" applyBorder="1" applyAlignment="1">
      <alignment horizontal="center" vertical="center" wrapText="1"/>
    </xf>
    <xf numFmtId="3" fontId="131" fillId="7" borderId="2" xfId="1" applyNumberFormat="1" applyFont="1" applyFill="1" applyBorder="1" applyAlignment="1">
      <alignment horizontal="right" vertical="center" wrapText="1"/>
    </xf>
    <xf numFmtId="0" fontId="117" fillId="17" borderId="29" xfId="0" applyFont="1" applyFill="1" applyBorder="1" applyAlignment="1">
      <alignment horizontal="center" vertical="center" wrapText="1"/>
    </xf>
    <xf numFmtId="0" fontId="117" fillId="17" borderId="38" xfId="0" applyFont="1" applyFill="1" applyBorder="1" applyAlignment="1">
      <alignment horizontal="center" vertical="center" wrapText="1"/>
    </xf>
    <xf numFmtId="0" fontId="117" fillId="17" borderId="3" xfId="0" applyFont="1" applyFill="1" applyBorder="1" applyAlignment="1">
      <alignment horizontal="center" vertical="center" wrapText="1"/>
    </xf>
    <xf numFmtId="0" fontId="102" fillId="0" borderId="39" xfId="0" applyFont="1" applyBorder="1" applyAlignment="1">
      <alignment horizontal="center" vertical="center" wrapText="1"/>
    </xf>
    <xf numFmtId="0" fontId="103" fillId="0" borderId="0" xfId="0" applyFont="1" applyBorder="1" applyAlignment="1">
      <alignment horizontal="center" vertical="center" wrapText="1"/>
    </xf>
    <xf numFmtId="0" fontId="103" fillId="9" borderId="29" xfId="0" applyFont="1" applyFill="1" applyBorder="1" applyAlignment="1">
      <alignment vertical="center" wrapText="1"/>
    </xf>
    <xf numFmtId="0" fontId="103" fillId="0" borderId="39" xfId="0" applyFont="1" applyBorder="1" applyAlignment="1">
      <alignment horizontal="right" vertical="center" wrapText="1"/>
    </xf>
    <xf numFmtId="0" fontId="103" fillId="9" borderId="29" xfId="0" applyFont="1" applyFill="1" applyBorder="1" applyAlignment="1">
      <alignment horizontal="right" vertical="center" wrapText="1"/>
    </xf>
    <xf numFmtId="3" fontId="103" fillId="7" borderId="2" xfId="1" applyNumberFormat="1" applyFont="1" applyFill="1" applyBorder="1" applyAlignment="1">
      <alignment horizontal="center" vertical="center" wrapText="1"/>
    </xf>
    <xf numFmtId="0" fontId="18" fillId="7" borderId="2" xfId="0" applyFont="1" applyFill="1" applyBorder="1" applyAlignment="1"/>
    <xf numFmtId="0" fontId="18" fillId="7" borderId="2" xfId="0" applyFont="1" applyFill="1" applyBorder="1" applyAlignment="1">
      <alignment horizontal="center"/>
    </xf>
    <xf numFmtId="0" fontId="4" fillId="0" borderId="40" xfId="0" applyFont="1" applyFill="1" applyBorder="1"/>
    <xf numFmtId="0" fontId="18" fillId="3" borderId="37" xfId="0" applyFont="1" applyFill="1" applyBorder="1"/>
    <xf numFmtId="0" fontId="18" fillId="3" borderId="41" xfId="0" applyFont="1" applyFill="1" applyBorder="1" applyAlignment="1">
      <alignment horizontal="center" vertical="center"/>
    </xf>
    <xf numFmtId="0" fontId="18" fillId="3" borderId="42" xfId="0" applyFont="1" applyFill="1" applyBorder="1" applyAlignment="1">
      <alignment horizontal="center" vertical="center"/>
    </xf>
    <xf numFmtId="0" fontId="179" fillId="0" borderId="0" xfId="0" applyFont="1" applyBorder="1" applyAlignment="1">
      <alignment horizontal="center" vertical="center"/>
    </xf>
    <xf numFmtId="0" fontId="180" fillId="4" borderId="12" xfId="0" applyFont="1" applyFill="1" applyBorder="1" applyAlignment="1">
      <alignment horizontal="center" vertical="center"/>
    </xf>
    <xf numFmtId="0" fontId="180" fillId="4" borderId="2" xfId="0" applyFont="1" applyFill="1" applyBorder="1" applyAlignment="1">
      <alignment horizontal="center" vertical="center"/>
    </xf>
    <xf numFmtId="0" fontId="180" fillId="4" borderId="2" xfId="0" applyFont="1" applyFill="1" applyBorder="1" applyAlignment="1">
      <alignment vertical="center"/>
    </xf>
    <xf numFmtId="0" fontId="180" fillId="9" borderId="2" xfId="0" applyFont="1" applyFill="1" applyBorder="1" applyAlignment="1">
      <alignment vertical="center"/>
    </xf>
    <xf numFmtId="0" fontId="180" fillId="9" borderId="14" xfId="0" applyFont="1" applyFill="1" applyBorder="1" applyAlignment="1">
      <alignment vertical="center"/>
    </xf>
    <xf numFmtId="0" fontId="181" fillId="0" borderId="0" xfId="0" applyFont="1" applyAlignment="1">
      <alignment vertical="center"/>
    </xf>
    <xf numFmtId="0" fontId="179" fillId="0" borderId="0" xfId="0" applyFont="1" applyAlignment="1">
      <alignment vertical="center"/>
    </xf>
    <xf numFmtId="2" fontId="108" fillId="9" borderId="9" xfId="0" applyNumberFormat="1" applyFont="1" applyFill="1" applyBorder="1" applyAlignment="1">
      <alignment vertical="center"/>
    </xf>
    <xf numFmtId="2" fontId="180" fillId="9" borderId="9" xfId="0" applyNumberFormat="1" applyFont="1" applyFill="1" applyBorder="1" applyAlignment="1">
      <alignment vertical="center"/>
    </xf>
    <xf numFmtId="2" fontId="108" fillId="9" borderId="10" xfId="0" applyNumberFormat="1" applyFont="1" applyFill="1" applyBorder="1" applyAlignment="1">
      <alignment vertical="center"/>
    </xf>
    <xf numFmtId="0" fontId="7" fillId="0" borderId="0" xfId="3" applyAlignment="1" applyProtection="1">
      <alignment vertical="center"/>
    </xf>
    <xf numFmtId="0" fontId="7" fillId="0" borderId="0" xfId="3" applyBorder="1" applyAlignment="1" applyProtection="1">
      <alignment horizontal="center" vertical="center"/>
    </xf>
    <xf numFmtId="0" fontId="6" fillId="3" borderId="2" xfId="0" applyFont="1" applyFill="1" applyBorder="1" applyAlignment="1">
      <alignment horizontal="center" vertical="center"/>
    </xf>
    <xf numFmtId="0" fontId="6" fillId="3" borderId="29" xfId="0" applyFont="1" applyFill="1" applyBorder="1" applyAlignment="1">
      <alignment horizontal="center" vertical="center"/>
    </xf>
    <xf numFmtId="0" fontId="6" fillId="3" borderId="46" xfId="0" applyFont="1" applyFill="1" applyBorder="1" applyAlignment="1">
      <alignment horizontal="center" vertical="center"/>
    </xf>
    <xf numFmtId="0" fontId="6" fillId="3" borderId="19" xfId="0" applyFont="1" applyFill="1" applyBorder="1" applyAlignment="1">
      <alignment horizontal="center" vertical="center"/>
    </xf>
    <xf numFmtId="0" fontId="173" fillId="0" borderId="0" xfId="0" applyFont="1" applyBorder="1" applyAlignment="1">
      <alignment horizontal="center" vertical="center" wrapText="1"/>
    </xf>
    <xf numFmtId="0" fontId="4" fillId="16" borderId="47" xfId="0" applyFont="1" applyFill="1" applyBorder="1" applyAlignment="1">
      <alignment horizontal="center" vertical="center"/>
    </xf>
    <xf numFmtId="0" fontId="4" fillId="16" borderId="48" xfId="0" applyFont="1" applyFill="1" applyBorder="1" applyAlignment="1">
      <alignment horizontal="center" vertical="center"/>
    </xf>
    <xf numFmtId="0" fontId="4" fillId="16" borderId="8" xfId="0" applyFont="1" applyFill="1" applyBorder="1" applyAlignment="1">
      <alignment horizontal="center" vertical="center"/>
    </xf>
    <xf numFmtId="0" fontId="85" fillId="11" borderId="16" xfId="0" applyFont="1" applyFill="1" applyBorder="1" applyAlignment="1">
      <alignment horizontal="center" vertical="center" textRotation="90"/>
    </xf>
    <xf numFmtId="0" fontId="85" fillId="11" borderId="4" xfId="0" applyFont="1" applyFill="1" applyBorder="1" applyAlignment="1">
      <alignment horizontal="center" vertical="center" textRotation="90"/>
    </xf>
    <xf numFmtId="0" fontId="85" fillId="11" borderId="17" xfId="0" applyFont="1" applyFill="1" applyBorder="1" applyAlignment="1">
      <alignment horizontal="center" vertical="center" textRotation="90"/>
    </xf>
    <xf numFmtId="0" fontId="85" fillId="11" borderId="8" xfId="0" applyFont="1" applyFill="1" applyBorder="1" applyAlignment="1">
      <alignment horizontal="center" vertical="center" textRotation="90"/>
    </xf>
    <xf numFmtId="20" fontId="6" fillId="4" borderId="43" xfId="0" applyNumberFormat="1" applyFont="1" applyFill="1" applyBorder="1" applyAlignment="1">
      <alignment horizontal="center" vertical="center"/>
    </xf>
    <xf numFmtId="20" fontId="6" fillId="4" borderId="33" xfId="0" applyNumberFormat="1" applyFont="1" applyFill="1" applyBorder="1" applyAlignment="1">
      <alignment horizontal="center" vertical="center"/>
    </xf>
    <xf numFmtId="0" fontId="4" fillId="2" borderId="3" xfId="0" applyFont="1" applyFill="1" applyBorder="1" applyAlignment="1">
      <alignment horizontal="center" vertical="center" textRotation="45"/>
    </xf>
    <xf numFmtId="0" fontId="0" fillId="2" borderId="28" xfId="0" applyFill="1" applyBorder="1" applyAlignment="1">
      <alignment vertical="center" textRotation="45"/>
    </xf>
    <xf numFmtId="0" fontId="0" fillId="2" borderId="44" xfId="0" applyFill="1" applyBorder="1" applyAlignment="1">
      <alignment vertical="center" textRotation="45"/>
    </xf>
    <xf numFmtId="0" fontId="4" fillId="5" borderId="3" xfId="0" applyFont="1" applyFill="1" applyBorder="1" applyAlignment="1">
      <alignment horizontal="center" vertical="center"/>
    </xf>
    <xf numFmtId="0" fontId="4" fillId="5" borderId="44" xfId="0" applyFont="1" applyFill="1" applyBorder="1" applyAlignment="1">
      <alignment horizontal="center" vertical="center"/>
    </xf>
    <xf numFmtId="0" fontId="4" fillId="3" borderId="3" xfId="0" applyFont="1" applyFill="1" applyBorder="1" applyAlignment="1">
      <alignment horizontal="center" vertical="center"/>
    </xf>
    <xf numFmtId="0" fontId="0" fillId="3" borderId="4" xfId="0" applyFill="1" applyBorder="1" applyAlignment="1">
      <alignment vertical="center"/>
    </xf>
    <xf numFmtId="0" fontId="4" fillId="9" borderId="3" xfId="0" applyFont="1" applyFill="1" applyBorder="1" applyAlignment="1">
      <alignment horizontal="center" vertical="center"/>
    </xf>
    <xf numFmtId="0" fontId="4" fillId="9" borderId="4" xfId="0" applyFont="1" applyFill="1" applyBorder="1" applyAlignment="1">
      <alignment horizontal="center" vertical="center"/>
    </xf>
    <xf numFmtId="0" fontId="4" fillId="15" borderId="3" xfId="0" applyFont="1" applyFill="1" applyBorder="1" applyAlignment="1">
      <alignment horizontal="center" vertical="center"/>
    </xf>
    <xf numFmtId="0" fontId="4" fillId="15" borderId="44" xfId="0" applyFont="1" applyFill="1" applyBorder="1" applyAlignment="1">
      <alignment horizontal="center" vertical="center"/>
    </xf>
    <xf numFmtId="20" fontId="6" fillId="4" borderId="45" xfId="0" applyNumberFormat="1" applyFont="1" applyFill="1" applyBorder="1" applyAlignment="1">
      <alignment horizontal="center" vertical="center"/>
    </xf>
    <xf numFmtId="20" fontId="6" fillId="4" borderId="19" xfId="0" applyNumberFormat="1" applyFont="1" applyFill="1" applyBorder="1" applyAlignment="1">
      <alignment horizontal="center" vertical="center"/>
    </xf>
    <xf numFmtId="0" fontId="30" fillId="0" borderId="0" xfId="0" applyFont="1" applyAlignment="1">
      <alignment horizontal="center"/>
    </xf>
    <xf numFmtId="0" fontId="30" fillId="4" borderId="43" xfId="0" applyFont="1" applyFill="1" applyBorder="1" applyAlignment="1">
      <alignment horizontal="center"/>
    </xf>
    <xf numFmtId="0" fontId="30" fillId="4" borderId="49" xfId="0" applyFont="1" applyFill="1" applyBorder="1" applyAlignment="1">
      <alignment horizontal="center"/>
    </xf>
    <xf numFmtId="0" fontId="30" fillId="4" borderId="33" xfId="0" applyFont="1" applyFill="1" applyBorder="1" applyAlignment="1">
      <alignment horizontal="center"/>
    </xf>
    <xf numFmtId="0" fontId="74" fillId="0" borderId="0" xfId="0" applyFont="1" applyBorder="1" applyAlignment="1">
      <alignment horizontal="center"/>
    </xf>
    <xf numFmtId="0" fontId="30" fillId="5" borderId="2" xfId="0" applyFont="1" applyFill="1" applyBorder="1" applyAlignment="1">
      <alignment horizontal="right"/>
    </xf>
    <xf numFmtId="0" fontId="76" fillId="0" borderId="0" xfId="0" applyFont="1" applyBorder="1" applyAlignment="1">
      <alignment horizontal="center"/>
    </xf>
    <xf numFmtId="0" fontId="111" fillId="4" borderId="13" xfId="0" applyFont="1" applyFill="1" applyBorder="1" applyAlignment="1">
      <alignment horizontal="center"/>
    </xf>
    <xf numFmtId="0" fontId="111" fillId="4" borderId="9" xfId="0" applyFont="1" applyFill="1" applyBorder="1" applyAlignment="1">
      <alignment horizontal="center"/>
    </xf>
    <xf numFmtId="0" fontId="98" fillId="0" borderId="0" xfId="0" applyFont="1" applyAlignment="1">
      <alignment horizontal="center"/>
    </xf>
    <xf numFmtId="0" fontId="97" fillId="9" borderId="0" xfId="0" applyFont="1" applyFill="1" applyAlignment="1">
      <alignment horizontal="left" wrapText="1"/>
    </xf>
    <xf numFmtId="0" fontId="97" fillId="9" borderId="0" xfId="0" applyFont="1" applyFill="1" applyAlignment="1">
      <alignment horizontal="left" vertical="top" wrapText="1"/>
    </xf>
    <xf numFmtId="0" fontId="78" fillId="11" borderId="2" xfId="0" applyFont="1" applyFill="1" applyBorder="1" applyAlignment="1">
      <alignment horizontal="center" vertical="center"/>
    </xf>
    <xf numFmtId="0" fontId="30" fillId="3" borderId="2" xfId="0" applyFont="1" applyFill="1" applyBorder="1" applyAlignment="1">
      <alignment horizontal="center"/>
    </xf>
    <xf numFmtId="0" fontId="78" fillId="11" borderId="2" xfId="0" applyFont="1" applyFill="1" applyBorder="1" applyAlignment="1">
      <alignment horizontal="center" vertical="center" wrapText="1"/>
    </xf>
    <xf numFmtId="0" fontId="30" fillId="0" borderId="50" xfId="0" applyFont="1" applyBorder="1" applyAlignment="1">
      <alignment horizontal="center" vertical="center"/>
    </xf>
    <xf numFmtId="0" fontId="30" fillId="3" borderId="43" xfId="0" applyFont="1" applyFill="1" applyBorder="1" applyAlignment="1">
      <alignment horizontal="center"/>
    </xf>
    <xf numFmtId="0" fontId="30" fillId="3" borderId="33" xfId="0" applyFont="1" applyFill="1" applyBorder="1" applyAlignment="1">
      <alignment horizontal="center"/>
    </xf>
    <xf numFmtId="0" fontId="17" fillId="2" borderId="0" xfId="0" applyFont="1" applyFill="1" applyAlignment="1">
      <alignment horizontal="left" wrapText="1"/>
    </xf>
    <xf numFmtId="0" fontId="30" fillId="0" borderId="0" xfId="0" applyFont="1" applyBorder="1" applyAlignment="1">
      <alignment horizontal="center"/>
    </xf>
    <xf numFmtId="0" fontId="30" fillId="0" borderId="46" xfId="0" applyFont="1" applyBorder="1" applyAlignment="1">
      <alignment horizontal="center"/>
    </xf>
    <xf numFmtId="0" fontId="30" fillId="0" borderId="46" xfId="0" applyFont="1" applyBorder="1" applyAlignment="1">
      <alignment horizontal="center" vertical="center" wrapText="1"/>
    </xf>
    <xf numFmtId="0" fontId="135" fillId="0" borderId="50" xfId="0" applyFont="1" applyBorder="1" applyAlignment="1">
      <alignment horizontal="center" vertical="center"/>
    </xf>
    <xf numFmtId="0" fontId="4" fillId="2" borderId="0" xfId="0" applyFont="1" applyFill="1" applyAlignment="1">
      <alignment horizontal="left" vertical="center" wrapText="1"/>
    </xf>
    <xf numFmtId="0" fontId="122" fillId="3" borderId="3" xfId="0" applyFont="1" applyFill="1" applyBorder="1" applyAlignment="1">
      <alignment horizontal="center" vertical="center" wrapText="1"/>
    </xf>
    <xf numFmtId="0" fontId="122" fillId="3" borderId="4" xfId="0" applyFont="1" applyFill="1" applyBorder="1" applyAlignment="1">
      <alignment horizontal="center" vertical="center" wrapText="1"/>
    </xf>
    <xf numFmtId="0" fontId="122" fillId="0" borderId="0" xfId="0" applyFont="1" applyBorder="1" applyAlignment="1">
      <alignment horizontal="center" vertical="center"/>
    </xf>
    <xf numFmtId="0" fontId="4" fillId="2" borderId="0" xfId="0" applyFont="1" applyFill="1" applyAlignment="1">
      <alignment horizontal="center" wrapText="1"/>
    </xf>
    <xf numFmtId="0" fontId="174" fillId="0" borderId="50" xfId="0" applyFont="1" applyBorder="1" applyAlignment="1">
      <alignment horizontal="center"/>
    </xf>
    <xf numFmtId="0" fontId="6" fillId="0" borderId="51" xfId="0" applyFont="1" applyBorder="1" applyAlignment="1">
      <alignment horizontal="left" wrapText="1"/>
    </xf>
    <xf numFmtId="0" fontId="6" fillId="3" borderId="5"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6" xfId="0" applyFont="1" applyFill="1" applyBorder="1" applyAlignment="1">
      <alignment horizontal="center"/>
    </xf>
    <xf numFmtId="0" fontId="6" fillId="3" borderId="7" xfId="0" applyFont="1" applyFill="1" applyBorder="1" applyAlignment="1">
      <alignment horizontal="center"/>
    </xf>
    <xf numFmtId="0" fontId="6" fillId="3" borderId="5" xfId="0" applyFont="1" applyFill="1" applyBorder="1" applyAlignment="1">
      <alignment horizontal="center"/>
    </xf>
    <xf numFmtId="0" fontId="4" fillId="3" borderId="12" xfId="0" applyFont="1" applyFill="1" applyBorder="1" applyAlignment="1">
      <alignment horizontal="center"/>
    </xf>
    <xf numFmtId="0" fontId="4" fillId="3" borderId="14" xfId="0" applyFont="1" applyFill="1" applyBorder="1" applyAlignment="1">
      <alignment horizontal="center"/>
    </xf>
    <xf numFmtId="0" fontId="122" fillId="0" borderId="50" xfId="0" applyFont="1" applyBorder="1" applyAlignment="1">
      <alignment horizontal="center"/>
    </xf>
    <xf numFmtId="0" fontId="175" fillId="0" borderId="50" xfId="0" applyFont="1" applyBorder="1" applyAlignment="1">
      <alignment horizontal="center"/>
    </xf>
    <xf numFmtId="0" fontId="125" fillId="0" borderId="51" xfId="0" applyFont="1" applyBorder="1" applyAlignment="1">
      <alignment horizontal="left" wrapText="1"/>
    </xf>
    <xf numFmtId="0" fontId="124" fillId="8" borderId="0" xfId="0" applyFont="1" applyFill="1" applyAlignment="1">
      <alignment horizontal="left" wrapText="1"/>
    </xf>
    <xf numFmtId="2" fontId="125" fillId="3" borderId="5" xfId="0" applyNumberFormat="1" applyFont="1" applyFill="1" applyBorder="1" applyAlignment="1">
      <alignment horizontal="center"/>
    </xf>
    <xf numFmtId="2" fontId="125" fillId="3" borderId="7" xfId="0" applyNumberFormat="1" applyFont="1" applyFill="1" applyBorder="1" applyAlignment="1">
      <alignment horizontal="center"/>
    </xf>
    <xf numFmtId="0" fontId="125" fillId="3" borderId="30" xfId="0" applyFont="1" applyFill="1" applyBorder="1" applyAlignment="1">
      <alignment horizontal="center"/>
    </xf>
    <xf numFmtId="0" fontId="125" fillId="3" borderId="52" xfId="0" applyFont="1" applyFill="1" applyBorder="1" applyAlignment="1">
      <alignment horizontal="center"/>
    </xf>
    <xf numFmtId="0" fontId="124" fillId="3" borderId="45" xfId="0" applyFont="1" applyFill="1" applyBorder="1" applyAlignment="1">
      <alignment horizontal="center"/>
    </xf>
    <xf numFmtId="0" fontId="124" fillId="3" borderId="53" xfId="0" applyFont="1" applyFill="1" applyBorder="1" applyAlignment="1">
      <alignment horizontal="center"/>
    </xf>
    <xf numFmtId="0" fontId="111" fillId="0" borderId="39" xfId="0" applyFont="1" applyBorder="1" applyAlignment="1">
      <alignment horizontal="center"/>
    </xf>
    <xf numFmtId="0" fontId="97" fillId="0" borderId="0" xfId="0" applyFont="1" applyAlignment="1">
      <alignment horizontal="left" wrapText="1"/>
    </xf>
    <xf numFmtId="0" fontId="97" fillId="5" borderId="54" xfId="0" applyFont="1" applyFill="1" applyBorder="1" applyAlignment="1">
      <alignment horizontal="center" vertical="center"/>
    </xf>
    <xf numFmtId="0" fontId="97" fillId="5" borderId="55" xfId="0" applyFont="1" applyFill="1" applyBorder="1" applyAlignment="1">
      <alignment horizontal="center" vertical="center"/>
    </xf>
    <xf numFmtId="0" fontId="97" fillId="3" borderId="35" xfId="0" applyFont="1" applyFill="1" applyBorder="1" applyAlignment="1">
      <alignment horizontal="center" vertical="center" wrapText="1"/>
    </xf>
    <xf numFmtId="0" fontId="97" fillId="3" borderId="52" xfId="0" applyFont="1" applyFill="1" applyBorder="1" applyAlignment="1">
      <alignment horizontal="center" vertical="center" wrapText="1"/>
    </xf>
    <xf numFmtId="0" fontId="111" fillId="0" borderId="0" xfId="0" applyFont="1" applyAlignment="1">
      <alignment horizontal="center"/>
    </xf>
    <xf numFmtId="0" fontId="111" fillId="0" borderId="0" xfId="0" applyFont="1" applyBorder="1" applyAlignment="1">
      <alignment horizontal="center"/>
    </xf>
    <xf numFmtId="0" fontId="111" fillId="0" borderId="50" xfId="0" applyFont="1" applyBorder="1" applyAlignment="1">
      <alignment horizontal="center"/>
    </xf>
    <xf numFmtId="0" fontId="17" fillId="3" borderId="29" xfId="0" applyFont="1" applyFill="1" applyBorder="1" applyAlignment="1">
      <alignment horizontal="center" vertical="center"/>
    </xf>
    <xf numFmtId="0" fontId="17" fillId="3" borderId="46" xfId="0" applyFont="1" applyFill="1" applyBorder="1" applyAlignment="1">
      <alignment horizontal="center" vertical="center"/>
    </xf>
    <xf numFmtId="0" fontId="17" fillId="3" borderId="19" xfId="0" applyFont="1" applyFill="1" applyBorder="1" applyAlignment="1">
      <alignment horizontal="center" vertical="center"/>
    </xf>
    <xf numFmtId="0" fontId="18" fillId="0" borderId="0" xfId="0" applyFont="1" applyAlignment="1">
      <alignment horizontal="center" vertical="center" wrapText="1"/>
    </xf>
    <xf numFmtId="0" fontId="162" fillId="3" borderId="29" xfId="0" applyFont="1" applyFill="1" applyBorder="1" applyAlignment="1">
      <alignment horizontal="center" vertical="center"/>
    </xf>
    <xf numFmtId="0" fontId="162" fillId="3" borderId="19" xfId="0" applyFont="1" applyFill="1" applyBorder="1" applyAlignment="1">
      <alignment horizontal="center" vertical="center"/>
    </xf>
    <xf numFmtId="0" fontId="17" fillId="4" borderId="29" xfId="0" applyFont="1" applyFill="1" applyBorder="1" applyAlignment="1">
      <alignment horizontal="left" vertical="center"/>
    </xf>
    <xf numFmtId="0" fontId="17" fillId="4" borderId="19" xfId="0" applyFont="1" applyFill="1" applyBorder="1" applyAlignment="1">
      <alignment horizontal="left" vertical="center"/>
    </xf>
    <xf numFmtId="0" fontId="17" fillId="5" borderId="29" xfId="0" applyFont="1" applyFill="1" applyBorder="1" applyAlignment="1">
      <alignment horizontal="center" vertical="center"/>
    </xf>
    <xf numFmtId="0" fontId="17" fillId="5" borderId="19" xfId="0" applyFont="1" applyFill="1" applyBorder="1" applyAlignment="1">
      <alignment horizontal="center" vertical="center"/>
    </xf>
    <xf numFmtId="0" fontId="30" fillId="3" borderId="29" xfId="0" applyFont="1" applyFill="1" applyBorder="1" applyAlignment="1">
      <alignment horizontal="center" vertical="center"/>
    </xf>
    <xf numFmtId="0" fontId="30" fillId="3" borderId="46" xfId="0" applyFont="1" applyFill="1" applyBorder="1" applyAlignment="1">
      <alignment horizontal="center" vertical="center"/>
    </xf>
    <xf numFmtId="0" fontId="30" fillId="3" borderId="19" xfId="0" applyFont="1" applyFill="1" applyBorder="1" applyAlignment="1">
      <alignment horizontal="center" vertical="center"/>
    </xf>
    <xf numFmtId="0" fontId="18" fillId="3" borderId="29" xfId="0" applyFont="1" applyFill="1" applyBorder="1" applyAlignment="1">
      <alignment horizontal="center"/>
    </xf>
    <xf numFmtId="0" fontId="18" fillId="3" borderId="46" xfId="0" applyFont="1" applyFill="1" applyBorder="1" applyAlignment="1">
      <alignment horizontal="center"/>
    </xf>
    <xf numFmtId="0" fontId="18" fillId="3" borderId="19" xfId="0" applyFont="1" applyFill="1" applyBorder="1" applyAlignment="1">
      <alignment horizontal="center"/>
    </xf>
    <xf numFmtId="0" fontId="30" fillId="0" borderId="2" xfId="0" applyFont="1" applyBorder="1" applyAlignment="1">
      <alignment horizontal="center"/>
    </xf>
    <xf numFmtId="181" fontId="30" fillId="0" borderId="2" xfId="0" applyNumberFormat="1" applyFont="1" applyBorder="1" applyAlignment="1">
      <alignment horizontal="center"/>
    </xf>
    <xf numFmtId="0" fontId="122" fillId="0" borderId="0" xfId="0" applyFont="1" applyAlignment="1">
      <alignment horizontal="center"/>
    </xf>
    <xf numFmtId="0" fontId="6" fillId="3" borderId="2" xfId="0" applyFont="1" applyFill="1" applyBorder="1" applyAlignment="1">
      <alignment horizontal="center"/>
    </xf>
    <xf numFmtId="0" fontId="4" fillId="4" borderId="2" xfId="0" applyFont="1" applyFill="1" applyBorder="1" applyAlignment="1">
      <alignment horizontal="center"/>
    </xf>
    <xf numFmtId="0" fontId="19" fillId="0" borderId="0" xfId="0" applyFont="1" applyAlignment="1">
      <alignment horizontal="center"/>
    </xf>
    <xf numFmtId="0" fontId="6" fillId="3" borderId="38" xfId="0" applyFont="1" applyFill="1" applyBorder="1" applyAlignment="1">
      <alignment horizontal="center" vertical="center"/>
    </xf>
    <xf numFmtId="0" fontId="6" fillId="3" borderId="56" xfId="0" applyFont="1" applyFill="1" applyBorder="1" applyAlignment="1">
      <alignment horizontal="center" vertical="center"/>
    </xf>
    <xf numFmtId="0" fontId="6" fillId="3" borderId="32" xfId="0" applyFont="1" applyFill="1" applyBorder="1" applyAlignment="1">
      <alignment horizontal="center" vertical="center"/>
    </xf>
    <xf numFmtId="0" fontId="6" fillId="3" borderId="57" xfId="0" applyFont="1" applyFill="1" applyBorder="1" applyAlignment="1">
      <alignment horizontal="center" vertical="center"/>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13" fillId="0" borderId="39" xfId="0" applyFont="1" applyBorder="1" applyAlignment="1">
      <alignment horizontal="right"/>
    </xf>
    <xf numFmtId="199" fontId="4" fillId="4" borderId="29" xfId="0" applyNumberFormat="1" applyFont="1" applyFill="1" applyBorder="1" applyAlignment="1">
      <alignment horizontal="center" vertical="center"/>
    </xf>
    <xf numFmtId="199" fontId="4" fillId="4" borderId="19" xfId="0" applyNumberFormat="1" applyFont="1" applyFill="1" applyBorder="1" applyAlignment="1">
      <alignment horizontal="center" vertical="center"/>
    </xf>
    <xf numFmtId="0" fontId="4" fillId="5" borderId="29" xfId="0" applyFont="1" applyFill="1" applyBorder="1" applyAlignment="1">
      <alignment horizontal="left" vertical="center"/>
    </xf>
    <xf numFmtId="0" fontId="4" fillId="5" borderId="46" xfId="0" applyFont="1" applyFill="1" applyBorder="1" applyAlignment="1">
      <alignment horizontal="left" vertical="center"/>
    </xf>
    <xf numFmtId="0" fontId="4" fillId="5" borderId="19" xfId="0" applyFont="1" applyFill="1" applyBorder="1" applyAlignment="1">
      <alignment horizontal="left" vertical="center"/>
    </xf>
    <xf numFmtId="0" fontId="136" fillId="0" borderId="29" xfId="0" applyFont="1" applyBorder="1" applyAlignment="1">
      <alignment horizontal="center" vertical="center"/>
    </xf>
    <xf numFmtId="0" fontId="136" fillId="0" borderId="46" xfId="0" applyFont="1" applyBorder="1" applyAlignment="1">
      <alignment horizontal="center" vertical="center"/>
    </xf>
    <xf numFmtId="0" fontId="136" fillId="0" borderId="19" xfId="0" applyFont="1" applyBorder="1" applyAlignment="1">
      <alignment horizontal="center" vertical="center"/>
    </xf>
    <xf numFmtId="0" fontId="122" fillId="0" borderId="32" xfId="0" applyFont="1" applyBorder="1" applyAlignment="1">
      <alignment horizontal="center" vertical="center"/>
    </xf>
    <xf numFmtId="0" fontId="122" fillId="0" borderId="39" xfId="0" applyFont="1" applyBorder="1" applyAlignment="1">
      <alignment horizontal="center" vertical="center"/>
    </xf>
    <xf numFmtId="0" fontId="122" fillId="0" borderId="57" xfId="0" applyFont="1" applyBorder="1" applyAlignment="1">
      <alignment horizontal="center" vertical="center"/>
    </xf>
    <xf numFmtId="0" fontId="109" fillId="3" borderId="3" xfId="0" applyFont="1" applyFill="1" applyBorder="1" applyAlignment="1">
      <alignment horizontal="center" vertical="center" textRotation="90" wrapText="1"/>
    </xf>
    <xf numFmtId="0" fontId="109" fillId="3" borderId="28" xfId="0" applyFont="1" applyFill="1" applyBorder="1" applyAlignment="1">
      <alignment horizontal="center" vertical="center" textRotation="90" wrapText="1"/>
    </xf>
    <xf numFmtId="0" fontId="109" fillId="3" borderId="4" xfId="0" applyFont="1" applyFill="1" applyBorder="1" applyAlignment="1">
      <alignment horizontal="center" vertical="center" textRotation="90" wrapText="1"/>
    </xf>
    <xf numFmtId="0" fontId="109" fillId="0" borderId="29" xfId="0" applyFont="1" applyBorder="1" applyAlignment="1">
      <alignment horizontal="center" vertical="center"/>
    </xf>
    <xf numFmtId="0" fontId="109" fillId="0" borderId="46" xfId="0" applyFont="1" applyBorder="1" applyAlignment="1">
      <alignment horizontal="center" vertical="center"/>
    </xf>
    <xf numFmtId="0" fontId="109" fillId="0" borderId="19" xfId="0" applyFont="1" applyBorder="1" applyAlignment="1">
      <alignment horizontal="center" vertical="center"/>
    </xf>
    <xf numFmtId="0" fontId="171" fillId="0" borderId="39" xfId="0" applyFont="1" applyBorder="1" applyAlignment="1">
      <alignment horizontal="center" vertical="center"/>
    </xf>
    <xf numFmtId="0" fontId="4" fillId="5" borderId="2" xfId="0" applyFont="1" applyFill="1" applyBorder="1" applyAlignment="1">
      <alignment horizontal="center" vertical="center"/>
    </xf>
    <xf numFmtId="0" fontId="4" fillId="4" borderId="2" xfId="0" applyFont="1" applyFill="1" applyBorder="1" applyAlignment="1">
      <alignment horizontal="left" vertical="center"/>
    </xf>
    <xf numFmtId="0" fontId="18" fillId="3" borderId="2" xfId="0" applyFont="1" applyFill="1" applyBorder="1" applyAlignment="1">
      <alignment horizontal="center" vertical="center"/>
    </xf>
    <xf numFmtId="0" fontId="18" fillId="3" borderId="29" xfId="0" applyFont="1" applyFill="1" applyBorder="1" applyAlignment="1">
      <alignment horizontal="center" vertical="center"/>
    </xf>
    <xf numFmtId="0" fontId="18" fillId="3" borderId="19" xfId="0" applyFont="1" applyFill="1" applyBorder="1" applyAlignment="1">
      <alignment horizontal="center" vertical="center"/>
    </xf>
    <xf numFmtId="0" fontId="176" fillId="0" borderId="0" xfId="0" applyFont="1" applyFill="1" applyBorder="1" applyAlignment="1">
      <alignment horizontal="center" vertical="center"/>
    </xf>
    <xf numFmtId="0" fontId="6" fillId="3" borderId="2" xfId="0" applyFont="1" applyFill="1" applyBorder="1" applyAlignment="1">
      <alignment horizontal="center" vertical="center" wrapText="1"/>
    </xf>
    <xf numFmtId="0" fontId="4" fillId="14" borderId="2" xfId="0" applyFont="1" applyFill="1" applyBorder="1" applyAlignment="1">
      <alignment horizontal="center"/>
    </xf>
    <xf numFmtId="0" fontId="14" fillId="0" borderId="50" xfId="0" applyFont="1" applyBorder="1" applyAlignment="1">
      <alignment horizontal="center"/>
    </xf>
    <xf numFmtId="0" fontId="4" fillId="5" borderId="45" xfId="0" applyFont="1" applyFill="1" applyBorder="1" applyAlignment="1">
      <alignment horizontal="center"/>
    </xf>
    <xf numFmtId="0" fontId="4" fillId="17" borderId="19" xfId="0" applyFont="1" applyFill="1" applyBorder="1" applyAlignment="1">
      <alignment horizontal="center"/>
    </xf>
    <xf numFmtId="0" fontId="4" fillId="5" borderId="43" xfId="0" applyFont="1" applyFill="1" applyBorder="1" applyAlignment="1">
      <alignment horizontal="center"/>
    </xf>
    <xf numFmtId="0" fontId="4" fillId="17" borderId="33" xfId="0" applyFont="1" applyFill="1" applyBorder="1" applyAlignment="1">
      <alignment horizontal="center"/>
    </xf>
    <xf numFmtId="0" fontId="18" fillId="3" borderId="16" xfId="0" applyFont="1" applyFill="1" applyBorder="1" applyAlignment="1">
      <alignment horizontal="center" vertical="center"/>
    </xf>
    <xf numFmtId="0" fontId="18" fillId="3" borderId="4" xfId="0" applyFont="1" applyFill="1" applyBorder="1" applyAlignment="1">
      <alignment horizontal="center" vertical="center"/>
    </xf>
    <xf numFmtId="0" fontId="18" fillId="3" borderId="17" xfId="0" applyFont="1" applyFill="1" applyBorder="1" applyAlignment="1">
      <alignment horizontal="center" vertical="center"/>
    </xf>
    <xf numFmtId="0" fontId="18" fillId="3" borderId="8" xfId="0" applyFont="1" applyFill="1" applyBorder="1" applyAlignment="1">
      <alignment horizontal="center" vertical="center"/>
    </xf>
    <xf numFmtId="0" fontId="6" fillId="0" borderId="39" xfId="0" applyFont="1" applyBorder="1" applyAlignment="1">
      <alignment horizontal="center"/>
    </xf>
    <xf numFmtId="0" fontId="17" fillId="0" borderId="29" xfId="0" applyFont="1" applyBorder="1" applyAlignment="1">
      <alignment horizontal="center"/>
    </xf>
    <xf numFmtId="0" fontId="17" fillId="0" borderId="19" xfId="0" applyFont="1" applyBorder="1" applyAlignment="1">
      <alignment horizontal="center"/>
    </xf>
    <xf numFmtId="0" fontId="18" fillId="0" borderId="2" xfId="0" applyFont="1" applyBorder="1" applyAlignment="1">
      <alignment horizontal="center"/>
    </xf>
    <xf numFmtId="194" fontId="18" fillId="0" borderId="2" xfId="0" applyNumberFormat="1" applyFont="1" applyBorder="1" applyAlignment="1">
      <alignment horizontal="center"/>
    </xf>
    <xf numFmtId="0" fontId="95" fillId="0" borderId="39" xfId="0" applyFont="1" applyBorder="1" applyAlignment="1">
      <alignment horizontal="center"/>
    </xf>
    <xf numFmtId="0" fontId="23" fillId="0" borderId="46" xfId="0" applyFont="1" applyBorder="1" applyAlignment="1">
      <alignment horizontal="center"/>
    </xf>
    <xf numFmtId="0" fontId="23" fillId="0" borderId="2" xfId="0" applyFont="1" applyBorder="1" applyAlignment="1">
      <alignment horizontal="center"/>
    </xf>
    <xf numFmtId="0" fontId="22" fillId="0" borderId="0" xfId="0" applyFont="1" applyAlignment="1">
      <alignment horizontal="center"/>
    </xf>
    <xf numFmtId="0" fontId="23" fillId="0" borderId="0" xfId="0" applyFont="1" applyAlignment="1">
      <alignment horizontal="center"/>
    </xf>
    <xf numFmtId="0" fontId="95" fillId="3" borderId="2" xfId="0" applyFont="1" applyFill="1" applyBorder="1" applyAlignment="1">
      <alignment horizontal="center"/>
    </xf>
    <xf numFmtId="0" fontId="23" fillId="0" borderId="39" xfId="0" applyFont="1" applyBorder="1" applyAlignment="1">
      <alignment horizontal="center"/>
    </xf>
    <xf numFmtId="0" fontId="103" fillId="7" borderId="0" xfId="0" applyFont="1" applyFill="1" applyAlignment="1">
      <alignment horizontal="left" vertical="center" wrapText="1"/>
    </xf>
    <xf numFmtId="0" fontId="103" fillId="8" borderId="0" xfId="0" applyFont="1" applyFill="1" applyAlignment="1">
      <alignment horizontal="left" vertical="center" wrapText="1"/>
    </xf>
    <xf numFmtId="0" fontId="27" fillId="0" borderId="39" xfId="0" applyFont="1" applyBorder="1" applyAlignment="1">
      <alignment horizontal="justify" vertical="center" wrapText="1"/>
    </xf>
    <xf numFmtId="0" fontId="117" fillId="8" borderId="0" xfId="0" applyFont="1" applyFill="1" applyAlignment="1">
      <alignment horizontal="left" vertical="center" wrapText="1"/>
    </xf>
    <xf numFmtId="0" fontId="103" fillId="9" borderId="2" xfId="0" applyFont="1" applyFill="1" applyBorder="1" applyAlignment="1">
      <alignment horizontal="left" vertical="center" wrapText="1"/>
    </xf>
    <xf numFmtId="0" fontId="158" fillId="0" borderId="39" xfId="0" applyFont="1" applyBorder="1" applyAlignment="1">
      <alignment horizontal="center" vertical="center"/>
    </xf>
    <xf numFmtId="0" fontId="97" fillId="0" borderId="0" xfId="0" applyFont="1" applyAlignment="1">
      <alignment horizontal="center"/>
    </xf>
    <xf numFmtId="0" fontId="97" fillId="0" borderId="24" xfId="0" applyFont="1" applyBorder="1" applyAlignment="1">
      <alignment horizontal="center"/>
    </xf>
    <xf numFmtId="0" fontId="111" fillId="9" borderId="2" xfId="0" applyFont="1" applyFill="1" applyBorder="1" applyAlignment="1">
      <alignment horizontal="center" vertical="center"/>
    </xf>
    <xf numFmtId="0" fontId="111" fillId="9" borderId="2" xfId="0" applyFont="1" applyFill="1" applyBorder="1" applyAlignment="1">
      <alignment horizontal="center"/>
    </xf>
    <xf numFmtId="0" fontId="98" fillId="0" borderId="24" xfId="0" applyFont="1" applyBorder="1" applyAlignment="1">
      <alignment horizontal="center"/>
    </xf>
    <xf numFmtId="0" fontId="99" fillId="0" borderId="0" xfId="0" applyFont="1" applyBorder="1" applyAlignment="1">
      <alignment horizontal="center" vertical="center"/>
    </xf>
    <xf numFmtId="0" fontId="99" fillId="0" borderId="0" xfId="0" applyFont="1" applyFill="1" applyBorder="1" applyAlignment="1">
      <alignment horizontal="center"/>
    </xf>
    <xf numFmtId="0" fontId="99" fillId="0" borderId="58" xfId="0" applyFont="1" applyFill="1" applyBorder="1" applyAlignment="1">
      <alignment horizontal="center"/>
    </xf>
    <xf numFmtId="0" fontId="100" fillId="10" borderId="2" xfId="0" applyFont="1" applyFill="1" applyBorder="1" applyAlignment="1">
      <alignment horizontal="center"/>
    </xf>
    <xf numFmtId="0" fontId="137" fillId="10" borderId="2" xfId="0" applyFont="1" applyFill="1" applyBorder="1" applyAlignment="1">
      <alignment horizontal="center" vertical="center"/>
    </xf>
    <xf numFmtId="14" fontId="138" fillId="2" borderId="2" xfId="0" applyNumberFormat="1" applyFont="1" applyFill="1" applyBorder="1" applyAlignment="1">
      <alignment horizontal="center" vertical="center"/>
    </xf>
    <xf numFmtId="0" fontId="26" fillId="0" borderId="0" xfId="0" applyFont="1" applyAlignment="1">
      <alignment horizontal="center" vertical="center"/>
    </xf>
    <xf numFmtId="0" fontId="139" fillId="10" borderId="2" xfId="0" applyFont="1" applyFill="1" applyBorder="1" applyAlignment="1">
      <alignment horizontal="center" vertical="center"/>
    </xf>
    <xf numFmtId="0" fontId="48" fillId="3" borderId="5" xfId="0" applyFont="1" applyFill="1" applyBorder="1" applyAlignment="1">
      <alignment horizontal="center" vertical="center"/>
    </xf>
    <xf numFmtId="0" fontId="48" fillId="3" borderId="6" xfId="0" applyFont="1" applyFill="1" applyBorder="1" applyAlignment="1">
      <alignment horizontal="center" vertical="center"/>
    </xf>
    <xf numFmtId="0" fontId="36" fillId="3" borderId="35" xfId="0" applyFont="1" applyFill="1" applyBorder="1" applyAlignment="1">
      <alignment horizontal="center" vertical="center"/>
    </xf>
    <xf numFmtId="0" fontId="36" fillId="3" borderId="59" xfId="0" applyFont="1" applyFill="1" applyBorder="1" applyAlignment="1">
      <alignment horizontal="center" vertical="center"/>
    </xf>
    <xf numFmtId="0" fontId="36" fillId="3" borderId="52" xfId="0" applyFont="1" applyFill="1" applyBorder="1" applyAlignment="1">
      <alignment horizontal="center" vertical="center"/>
    </xf>
    <xf numFmtId="0" fontId="18" fillId="9" borderId="13" xfId="0" applyFont="1" applyFill="1" applyBorder="1" applyAlignment="1">
      <alignment horizontal="center" vertical="center"/>
    </xf>
    <xf numFmtId="0" fontId="4" fillId="9" borderId="9" xfId="0" applyFont="1" applyFill="1" applyBorder="1" applyAlignment="1">
      <alignment horizontal="center" vertical="center"/>
    </xf>
    <xf numFmtId="0" fontId="18" fillId="3" borderId="5" xfId="0" applyFont="1" applyFill="1" applyBorder="1" applyAlignment="1">
      <alignment horizontal="center" vertical="center" wrapText="1"/>
    </xf>
    <xf numFmtId="0" fontId="18" fillId="3" borderId="13" xfId="0" applyFont="1" applyFill="1" applyBorder="1" applyAlignment="1">
      <alignment horizontal="center" vertical="center" wrapText="1"/>
    </xf>
    <xf numFmtId="0" fontId="54" fillId="3" borderId="5" xfId="0" applyFont="1" applyFill="1" applyBorder="1" applyAlignment="1">
      <alignment horizontal="center" vertical="center"/>
    </xf>
    <xf numFmtId="0" fontId="54" fillId="3" borderId="6" xfId="0" applyFont="1" applyFill="1" applyBorder="1" applyAlignment="1">
      <alignment horizontal="center" vertical="center"/>
    </xf>
    <xf numFmtId="0" fontId="54" fillId="3" borderId="7" xfId="0" applyFont="1" applyFill="1" applyBorder="1" applyAlignment="1">
      <alignment horizontal="center" vertical="center"/>
    </xf>
    <xf numFmtId="0" fontId="4" fillId="3" borderId="43" xfId="0" applyFont="1" applyFill="1" applyBorder="1" applyAlignment="1">
      <alignment horizontal="center" vertical="center"/>
    </xf>
    <xf numFmtId="0" fontId="4" fillId="3" borderId="49" xfId="0" applyFont="1" applyFill="1" applyBorder="1" applyAlignment="1">
      <alignment horizontal="center" vertical="center"/>
    </xf>
    <xf numFmtId="0" fontId="4" fillId="3" borderId="33" xfId="0" applyFont="1" applyFill="1" applyBorder="1" applyAlignment="1">
      <alignment horizontal="center" vertical="center"/>
    </xf>
    <xf numFmtId="0" fontId="35" fillId="2" borderId="0" xfId="0" applyFont="1" applyFill="1" applyAlignment="1">
      <alignment horizontal="center" vertical="center"/>
    </xf>
    <xf numFmtId="0" fontId="26" fillId="2" borderId="0" xfId="0" applyFont="1" applyFill="1" applyAlignment="1">
      <alignment horizontal="center" vertical="center"/>
    </xf>
    <xf numFmtId="0" fontId="26" fillId="3" borderId="5" xfId="0" applyFont="1" applyFill="1" applyBorder="1" applyAlignment="1">
      <alignment horizontal="center" vertical="center"/>
    </xf>
    <xf numFmtId="0" fontId="26" fillId="3" borderId="6" xfId="0" applyFont="1" applyFill="1" applyBorder="1" applyAlignment="1">
      <alignment horizontal="center" vertical="center"/>
    </xf>
    <xf numFmtId="0" fontId="26" fillId="3" borderId="7" xfId="0" applyFont="1" applyFill="1" applyBorder="1" applyAlignment="1">
      <alignment horizontal="center" vertical="center"/>
    </xf>
    <xf numFmtId="0" fontId="106" fillId="3" borderId="13" xfId="0" applyFont="1" applyFill="1" applyBorder="1" applyAlignment="1">
      <alignment horizontal="center" vertical="center"/>
    </xf>
    <xf numFmtId="0" fontId="106" fillId="3" borderId="9" xfId="0" applyFont="1" applyFill="1" applyBorder="1" applyAlignment="1">
      <alignment horizontal="center" vertical="center"/>
    </xf>
    <xf numFmtId="0" fontId="44" fillId="0" borderId="0" xfId="0" applyFont="1" applyAlignment="1">
      <alignment horizontal="center" vertical="center" wrapText="1"/>
    </xf>
    <xf numFmtId="0" fontId="32" fillId="2" borderId="0" xfId="0" applyFont="1" applyFill="1" applyAlignment="1">
      <alignment horizontal="center" vertical="center"/>
    </xf>
    <xf numFmtId="0" fontId="35" fillId="2" borderId="0" xfId="0" quotePrefix="1" applyFont="1" applyFill="1" applyAlignment="1">
      <alignment horizontal="center" vertical="center"/>
    </xf>
    <xf numFmtId="9" fontId="45" fillId="2" borderId="0" xfId="0" applyNumberFormat="1" applyFont="1" applyFill="1" applyAlignment="1">
      <alignment horizontal="center" vertical="center"/>
    </xf>
    <xf numFmtId="0" fontId="45" fillId="2" borderId="0" xfId="0" applyFont="1" applyFill="1" applyAlignment="1">
      <alignment horizontal="center" vertical="center"/>
    </xf>
    <xf numFmtId="0" fontId="41" fillId="5" borderId="30" xfId="0" applyFont="1" applyFill="1" applyBorder="1" applyAlignment="1">
      <alignment horizontal="center" vertical="center"/>
    </xf>
    <xf numFmtId="0" fontId="41" fillId="5" borderId="59" xfId="0" applyFont="1" applyFill="1" applyBorder="1" applyAlignment="1">
      <alignment horizontal="center" vertical="center"/>
    </xf>
    <xf numFmtId="0" fontId="41" fillId="5" borderId="52" xfId="0" applyFont="1" applyFill="1" applyBorder="1" applyAlignment="1">
      <alignment horizontal="center" vertical="center"/>
    </xf>
    <xf numFmtId="0" fontId="26" fillId="3" borderId="12" xfId="0" applyFont="1" applyFill="1" applyBorder="1" applyAlignment="1">
      <alignment horizontal="center" vertical="center" wrapText="1"/>
    </xf>
    <xf numFmtId="0" fontId="32" fillId="3" borderId="2" xfId="0" applyFont="1" applyFill="1" applyBorder="1" applyAlignment="1">
      <alignment horizontal="center" vertical="center"/>
    </xf>
    <xf numFmtId="0" fontId="26" fillId="3" borderId="2" xfId="0" applyFont="1" applyFill="1" applyBorder="1" applyAlignment="1">
      <alignment horizontal="center" vertical="center"/>
    </xf>
    <xf numFmtId="0" fontId="45" fillId="3" borderId="14" xfId="0" applyFont="1" applyFill="1" applyBorder="1" applyAlignment="1">
      <alignment horizontal="center" vertical="center" wrapText="1"/>
    </xf>
    <xf numFmtId="0" fontId="99" fillId="0" borderId="0" xfId="0" applyFont="1" applyBorder="1" applyAlignment="1">
      <alignment horizontal="center"/>
    </xf>
    <xf numFmtId="0" fontId="112" fillId="0" borderId="39" xfId="0" applyFont="1" applyBorder="1" applyAlignment="1">
      <alignment horizontal="center"/>
    </xf>
    <xf numFmtId="194" fontId="97" fillId="7" borderId="2" xfId="0" applyNumberFormat="1" applyFont="1" applyFill="1" applyBorder="1" applyAlignment="1">
      <alignment horizontal="center"/>
    </xf>
    <xf numFmtId="194" fontId="97" fillId="0" borderId="2" xfId="0" applyNumberFormat="1" applyFont="1" applyBorder="1"/>
    <xf numFmtId="0" fontId="97" fillId="9" borderId="2" xfId="0" applyFont="1" applyFill="1" applyBorder="1" applyAlignment="1">
      <alignment horizontal="center" vertical="top" wrapText="1"/>
    </xf>
    <xf numFmtId="0" fontId="99" fillId="0" borderId="2" xfId="0" applyFont="1" applyBorder="1" applyAlignment="1">
      <alignment horizontal="center" vertical="center"/>
    </xf>
    <xf numFmtId="0" fontId="30" fillId="7" borderId="2" xfId="0" applyFont="1" applyFill="1" applyBorder="1" applyAlignment="1">
      <alignment horizontal="center"/>
    </xf>
    <xf numFmtId="0" fontId="122" fillId="0" borderId="39" xfId="0" applyFont="1" applyBorder="1" applyAlignment="1">
      <alignment horizontal="center" vertical="center" wrapText="1"/>
    </xf>
    <xf numFmtId="0" fontId="117" fillId="9" borderId="2" xfId="0" applyFont="1" applyFill="1" applyBorder="1" applyAlignment="1">
      <alignment horizontal="center" vertical="center" wrapText="1"/>
    </xf>
    <xf numFmtId="0" fontId="97" fillId="10" borderId="2" xfId="0" applyFont="1" applyFill="1" applyBorder="1" applyAlignment="1">
      <alignment horizontal="left" vertical="center" wrapText="1"/>
    </xf>
    <xf numFmtId="0" fontId="97" fillId="10" borderId="2" xfId="0" applyFont="1" applyFill="1" applyBorder="1" applyAlignment="1">
      <alignment horizontal="center" wrapText="1"/>
    </xf>
    <xf numFmtId="0" fontId="111" fillId="3" borderId="2" xfId="0" applyFont="1" applyFill="1" applyBorder="1" applyAlignment="1">
      <alignment horizontal="center"/>
    </xf>
    <xf numFmtId="0" fontId="111" fillId="3" borderId="29" xfId="0" applyFont="1" applyFill="1" applyBorder="1" applyAlignment="1">
      <alignment horizontal="center"/>
    </xf>
    <xf numFmtId="0" fontId="111" fillId="3" borderId="46" xfId="0" applyFont="1" applyFill="1" applyBorder="1" applyAlignment="1">
      <alignment horizontal="center"/>
    </xf>
    <xf numFmtId="0" fontId="111" fillId="3" borderId="19" xfId="0" applyFont="1" applyFill="1" applyBorder="1" applyAlignment="1">
      <alignment horizontal="center"/>
    </xf>
    <xf numFmtId="0" fontId="98" fillId="3" borderId="2" xfId="0" applyFont="1" applyFill="1" applyBorder="1" applyAlignment="1">
      <alignment horizontal="center" vertical="center" wrapText="1"/>
    </xf>
    <xf numFmtId="0" fontId="97" fillId="10" borderId="29" xfId="0" applyFont="1" applyFill="1" applyBorder="1" applyAlignment="1">
      <alignment horizontal="left" vertical="center" wrapText="1"/>
    </xf>
    <xf numFmtId="0" fontId="97" fillId="10" borderId="46" xfId="0" applyFont="1" applyFill="1" applyBorder="1" applyAlignment="1">
      <alignment horizontal="left" vertical="center" wrapText="1"/>
    </xf>
    <xf numFmtId="0" fontId="97" fillId="10" borderId="19" xfId="0" applyFont="1" applyFill="1" applyBorder="1" applyAlignment="1">
      <alignment horizontal="left" vertical="center" wrapText="1"/>
    </xf>
    <xf numFmtId="0" fontId="97" fillId="10" borderId="0" xfId="0" quotePrefix="1" applyFont="1" applyFill="1" applyAlignment="1">
      <alignment horizontal="left" vertical="center"/>
    </xf>
    <xf numFmtId="0" fontId="36" fillId="0" borderId="0" xfId="4" applyFont="1" applyFill="1" applyAlignment="1">
      <alignment horizontal="center" vertical="center"/>
    </xf>
    <xf numFmtId="0" fontId="32" fillId="0" borderId="0" xfId="4" applyFont="1" applyAlignment="1">
      <alignment horizontal="center" vertical="center"/>
    </xf>
    <xf numFmtId="0" fontId="53" fillId="0" borderId="0" xfId="4" applyFont="1" applyAlignment="1">
      <alignment horizontal="center" vertical="center"/>
    </xf>
    <xf numFmtId="0" fontId="140" fillId="0" borderId="39" xfId="0" applyFont="1" applyBorder="1" applyAlignment="1">
      <alignment horizontal="center"/>
    </xf>
    <xf numFmtId="0" fontId="140" fillId="18" borderId="0" xfId="0" applyFont="1" applyFill="1" applyAlignment="1">
      <alignment horizontal="center"/>
    </xf>
    <xf numFmtId="0" fontId="167" fillId="5" borderId="2" xfId="0" applyFont="1" applyFill="1" applyBorder="1" applyAlignment="1">
      <alignment horizontal="center" vertical="center" wrapText="1"/>
    </xf>
    <xf numFmtId="0" fontId="167" fillId="5" borderId="3" xfId="0" applyFont="1" applyFill="1" applyBorder="1" applyAlignment="1">
      <alignment horizontal="center" vertical="center" wrapText="1"/>
    </xf>
    <xf numFmtId="0" fontId="167" fillId="5" borderId="4" xfId="0" applyFont="1" applyFill="1" applyBorder="1" applyAlignment="1">
      <alignment horizontal="center" vertical="center" wrapText="1"/>
    </xf>
    <xf numFmtId="0" fontId="57" fillId="3" borderId="2" xfId="0" applyFont="1" applyFill="1" applyBorder="1" applyAlignment="1">
      <alignment horizontal="center" vertical="center"/>
    </xf>
    <xf numFmtId="0" fontId="167" fillId="5" borderId="2" xfId="0" applyFont="1" applyFill="1" applyBorder="1" applyAlignment="1">
      <alignment horizontal="center" vertical="center"/>
    </xf>
    <xf numFmtId="0" fontId="43" fillId="3" borderId="2" xfId="0" applyFont="1" applyFill="1" applyBorder="1" applyAlignment="1">
      <alignment horizontal="center" vertical="center"/>
    </xf>
    <xf numFmtId="0" fontId="122" fillId="0" borderId="0" xfId="0" applyFont="1" applyAlignment="1">
      <alignment horizontal="center" vertical="center"/>
    </xf>
    <xf numFmtId="0" fontId="6" fillId="0" borderId="0" xfId="0" applyFont="1" applyAlignment="1">
      <alignment horizontal="center" vertical="center"/>
    </xf>
    <xf numFmtId="0" fontId="36" fillId="3" borderId="2" xfId="0" applyFont="1" applyFill="1" applyBorder="1" applyAlignment="1">
      <alignment horizontal="center" vertical="center"/>
    </xf>
    <xf numFmtId="0" fontId="110" fillId="12" borderId="2" xfId="0" applyFont="1" applyFill="1" applyBorder="1" applyAlignment="1">
      <alignment horizontal="left" vertical="center" wrapText="1"/>
    </xf>
    <xf numFmtId="0" fontId="110" fillId="17" borderId="2" xfId="0" applyFont="1" applyFill="1" applyBorder="1" applyAlignment="1">
      <alignment horizontal="left" vertical="center" wrapText="1"/>
    </xf>
    <xf numFmtId="0" fontId="110" fillId="12" borderId="3" xfId="0" applyFont="1" applyFill="1" applyBorder="1" applyAlignment="1">
      <alignment horizontal="center" vertical="center" wrapText="1"/>
    </xf>
    <xf numFmtId="0" fontId="110" fillId="17" borderId="4" xfId="0" applyFont="1" applyFill="1" applyBorder="1" applyAlignment="1">
      <alignment horizontal="center" vertical="center" wrapText="1"/>
    </xf>
    <xf numFmtId="0" fontId="110" fillId="12" borderId="2" xfId="0" applyFont="1" applyFill="1" applyBorder="1" applyAlignment="1">
      <alignment horizontal="center" vertical="center" wrapText="1"/>
    </xf>
    <xf numFmtId="0" fontId="110" fillId="17" borderId="2" xfId="0" applyFont="1" applyFill="1" applyBorder="1" applyAlignment="1">
      <alignment horizontal="center" vertical="center" wrapText="1"/>
    </xf>
    <xf numFmtId="0" fontId="98" fillId="10" borderId="2" xfId="0" applyFont="1" applyFill="1" applyBorder="1" applyAlignment="1">
      <alignment horizontal="center" vertical="center" wrapText="1"/>
    </xf>
    <xf numFmtId="0" fontId="98" fillId="10" borderId="29" xfId="0" applyFont="1" applyFill="1" applyBorder="1" applyAlignment="1">
      <alignment horizontal="center" vertical="center" wrapText="1"/>
    </xf>
    <xf numFmtId="0" fontId="98" fillId="10" borderId="46" xfId="0" applyFont="1" applyFill="1" applyBorder="1" applyAlignment="1">
      <alignment horizontal="center" vertical="center" wrapText="1"/>
    </xf>
    <xf numFmtId="0" fontId="98" fillId="10" borderId="19" xfId="0" applyFont="1" applyFill="1" applyBorder="1" applyAlignment="1">
      <alignment horizontal="center" vertical="center" wrapText="1"/>
    </xf>
    <xf numFmtId="0" fontId="32" fillId="0" borderId="0" xfId="0" applyFont="1" applyBorder="1" applyAlignment="1">
      <alignment horizontal="center" vertical="center"/>
    </xf>
    <xf numFmtId="0" fontId="106" fillId="0" borderId="39" xfId="0" applyFont="1" applyBorder="1" applyAlignment="1">
      <alignment horizontal="center" vertical="center"/>
    </xf>
    <xf numFmtId="0" fontId="106" fillId="0" borderId="0" xfId="0" applyFont="1" applyBorder="1" applyAlignment="1">
      <alignment horizontal="center" vertical="center"/>
    </xf>
    <xf numFmtId="213" fontId="109" fillId="5" borderId="3" xfId="0" applyNumberFormat="1" applyFont="1" applyFill="1" applyBorder="1" applyAlignment="1">
      <alignment horizontal="left" vertical="center" wrapText="1"/>
    </xf>
    <xf numFmtId="213" fontId="109" fillId="5" borderId="4" xfId="0" applyNumberFormat="1" applyFont="1" applyFill="1" applyBorder="1" applyAlignment="1">
      <alignment horizontal="left" vertical="center" wrapText="1"/>
    </xf>
    <xf numFmtId="0" fontId="109" fillId="5" borderId="3" xfId="0" applyFont="1" applyFill="1" applyBorder="1" applyAlignment="1">
      <alignment horizontal="left" vertical="center" wrapText="1"/>
    </xf>
    <xf numFmtId="0" fontId="109" fillId="5" borderId="4" xfId="0" applyFont="1" applyFill="1" applyBorder="1" applyAlignment="1">
      <alignment horizontal="left" vertical="center" wrapText="1"/>
    </xf>
    <xf numFmtId="0" fontId="177" fillId="0" borderId="39" xfId="0" applyFont="1" applyBorder="1" applyAlignment="1">
      <alignment horizontal="center" vertical="center"/>
    </xf>
    <xf numFmtId="14" fontId="164" fillId="12" borderId="29" xfId="0" applyNumberFormat="1" applyFont="1" applyFill="1" applyBorder="1" applyAlignment="1">
      <alignment horizontal="center" vertical="center" wrapText="1"/>
    </xf>
    <xf numFmtId="14" fontId="164" fillId="12" borderId="46" xfId="0" applyNumberFormat="1" applyFont="1" applyFill="1" applyBorder="1" applyAlignment="1">
      <alignment horizontal="center" vertical="center" wrapText="1"/>
    </xf>
    <xf numFmtId="14" fontId="164" fillId="12" borderId="19" xfId="0" applyNumberFormat="1" applyFont="1" applyFill="1" applyBorder="1" applyAlignment="1">
      <alignment horizontal="center" vertical="center" wrapText="1"/>
    </xf>
    <xf numFmtId="0" fontId="164" fillId="12" borderId="3" xfId="0" applyFont="1" applyFill="1" applyBorder="1" applyAlignment="1">
      <alignment horizontal="center" vertical="center" wrapText="1"/>
    </xf>
    <xf numFmtId="0" fontId="164" fillId="12" borderId="4" xfId="0" applyFont="1" applyFill="1" applyBorder="1" applyAlignment="1">
      <alignment horizontal="center" vertical="center" wrapText="1"/>
    </xf>
    <xf numFmtId="0" fontId="164" fillId="10" borderId="3" xfId="0" applyFont="1" applyFill="1" applyBorder="1" applyAlignment="1">
      <alignment horizontal="center" vertical="center" wrapText="1"/>
    </xf>
    <xf numFmtId="0" fontId="164" fillId="10" borderId="4" xfId="0" applyFont="1" applyFill="1" applyBorder="1" applyAlignment="1">
      <alignment horizontal="center" vertical="center" wrapText="1"/>
    </xf>
    <xf numFmtId="0" fontId="164" fillId="10" borderId="38" xfId="0" applyFont="1" applyFill="1" applyBorder="1" applyAlignment="1">
      <alignment horizontal="center" vertical="center" wrapText="1"/>
    </xf>
    <xf numFmtId="0" fontId="164" fillId="10" borderId="60" xfId="0" applyFont="1" applyFill="1" applyBorder="1" applyAlignment="1">
      <alignment horizontal="center" vertical="center" wrapText="1"/>
    </xf>
    <xf numFmtId="0" fontId="164" fillId="10" borderId="56" xfId="0" applyFont="1" applyFill="1" applyBorder="1" applyAlignment="1">
      <alignment horizontal="center" vertical="center" wrapText="1"/>
    </xf>
    <xf numFmtId="0" fontId="172" fillId="3" borderId="2" xfId="0" applyFont="1" applyFill="1" applyBorder="1" applyAlignment="1">
      <alignment horizontal="center" vertical="center"/>
    </xf>
    <xf numFmtId="0" fontId="76" fillId="5" borderId="2" xfId="0" applyFont="1" applyFill="1" applyBorder="1" applyAlignment="1">
      <alignment horizontal="center" vertical="center" wrapText="1"/>
    </xf>
    <xf numFmtId="0" fontId="143" fillId="5" borderId="2" xfId="0" applyFont="1" applyFill="1" applyBorder="1" applyAlignment="1">
      <alignment horizontal="center" vertical="center" wrapText="1"/>
    </xf>
    <xf numFmtId="0" fontId="46" fillId="3" borderId="2" xfId="0" applyFont="1" applyFill="1" applyBorder="1" applyAlignment="1">
      <alignment horizontal="center" vertical="center"/>
    </xf>
    <xf numFmtId="0" fontId="170" fillId="9" borderId="29" xfId="0" applyFont="1" applyFill="1" applyBorder="1" applyAlignment="1">
      <alignment horizontal="center" vertical="center"/>
    </xf>
    <xf numFmtId="0" fontId="170" fillId="9" borderId="46" xfId="0" applyFont="1" applyFill="1" applyBorder="1" applyAlignment="1">
      <alignment horizontal="center" vertical="center"/>
    </xf>
    <xf numFmtId="0" fontId="170" fillId="9" borderId="19" xfId="0" applyFont="1" applyFill="1" applyBorder="1" applyAlignment="1">
      <alignment horizontal="center" vertical="center"/>
    </xf>
    <xf numFmtId="0" fontId="32" fillId="3" borderId="29" xfId="0" applyFont="1" applyFill="1" applyBorder="1" applyAlignment="1">
      <alignment horizontal="center" vertical="center"/>
    </xf>
    <xf numFmtId="0" fontId="32" fillId="3" borderId="19" xfId="0" applyFont="1" applyFill="1" applyBorder="1" applyAlignment="1">
      <alignment horizontal="center" vertical="center"/>
    </xf>
    <xf numFmtId="0" fontId="171" fillId="3" borderId="29" xfId="0" applyFont="1" applyFill="1" applyBorder="1" applyAlignment="1">
      <alignment horizontal="center" vertical="center"/>
    </xf>
    <xf numFmtId="0" fontId="171" fillId="3" borderId="46" xfId="0" applyFont="1" applyFill="1" applyBorder="1" applyAlignment="1">
      <alignment horizontal="center" vertical="center"/>
    </xf>
    <xf numFmtId="0" fontId="171" fillId="3" borderId="19" xfId="0" applyFont="1" applyFill="1" applyBorder="1" applyAlignment="1">
      <alignment horizontal="center" vertical="center"/>
    </xf>
    <xf numFmtId="0" fontId="57" fillId="5" borderId="2" xfId="0" applyFont="1" applyFill="1" applyBorder="1" applyAlignment="1">
      <alignment horizontal="center" vertical="center"/>
    </xf>
    <xf numFmtId="0" fontId="41" fillId="10" borderId="2" xfId="0" applyFont="1" applyFill="1" applyBorder="1" applyAlignment="1">
      <alignment horizontal="center" vertical="center"/>
    </xf>
    <xf numFmtId="0" fontId="171" fillId="10" borderId="29" xfId="0" applyFont="1" applyFill="1" applyBorder="1" applyAlignment="1">
      <alignment horizontal="center" vertical="center"/>
    </xf>
    <xf numFmtId="0" fontId="171" fillId="10" borderId="46" xfId="0" applyFont="1" applyFill="1" applyBorder="1" applyAlignment="1">
      <alignment horizontal="center" vertical="center"/>
    </xf>
    <xf numFmtId="0" fontId="171" fillId="10" borderId="19" xfId="0" applyFont="1" applyFill="1" applyBorder="1" applyAlignment="1">
      <alignment horizontal="center" vertical="center"/>
    </xf>
    <xf numFmtId="0" fontId="32" fillId="2" borderId="2" xfId="0" applyFont="1" applyFill="1" applyBorder="1" applyAlignment="1">
      <alignment horizontal="center" vertical="center"/>
    </xf>
    <xf numFmtId="0" fontId="43" fillId="5" borderId="29" xfId="0" applyFont="1" applyFill="1" applyBorder="1" applyAlignment="1">
      <alignment horizontal="center" vertical="center"/>
    </xf>
    <xf numFmtId="0" fontId="43" fillId="5" borderId="46" xfId="0" applyFont="1" applyFill="1" applyBorder="1" applyAlignment="1">
      <alignment horizontal="center" vertical="center"/>
    </xf>
    <xf numFmtId="0" fontId="43" fillId="5" borderId="19" xfId="0" applyFont="1" applyFill="1" applyBorder="1" applyAlignment="1">
      <alignment horizontal="center" vertical="center"/>
    </xf>
    <xf numFmtId="0" fontId="6" fillId="10" borderId="2" xfId="0" applyFont="1" applyFill="1" applyBorder="1" applyAlignment="1">
      <alignment horizontal="center" vertical="center"/>
    </xf>
    <xf numFmtId="0" fontId="32" fillId="3" borderId="46" xfId="0" applyFont="1" applyFill="1" applyBorder="1" applyAlignment="1">
      <alignment horizontal="center" vertical="center"/>
    </xf>
    <xf numFmtId="0" fontId="57" fillId="4" borderId="2" xfId="0" applyFont="1" applyFill="1" applyBorder="1" applyAlignment="1">
      <alignment horizontal="center" vertical="center"/>
    </xf>
    <xf numFmtId="0" fontId="26" fillId="8" borderId="2" xfId="0" applyFont="1" applyFill="1" applyBorder="1" applyAlignment="1">
      <alignment horizontal="center" vertical="center"/>
    </xf>
    <xf numFmtId="0" fontId="171" fillId="0" borderId="46" xfId="0" applyFont="1" applyBorder="1" applyAlignment="1">
      <alignment horizontal="center" vertical="center"/>
    </xf>
    <xf numFmtId="0" fontId="73" fillId="3" borderId="2" xfId="0" applyFont="1" applyFill="1" applyBorder="1" applyAlignment="1">
      <alignment horizontal="center" vertical="center"/>
    </xf>
    <xf numFmtId="0" fontId="53" fillId="3" borderId="2" xfId="0" applyFont="1" applyFill="1" applyBorder="1" applyAlignment="1">
      <alignment horizontal="center" vertical="center"/>
    </xf>
  </cellXfs>
  <cellStyles count="5">
    <cellStyle name="Comma" xfId="1" builtinId="3"/>
    <cellStyle name="Currency" xfId="2" builtinId="4"/>
    <cellStyle name="Hyperlink" xfId="3" builtinId="8"/>
    <cellStyle name="Normal" xfId="0" builtinId="0"/>
    <cellStyle name="Normal_BAITAP" xfId="4" xr:uid="{FB1300BE-EEE9-4B92-918D-5D282B6EF3EF}"/>
  </cellStyles>
  <dxfs count="5">
    <dxf>
      <font>
        <color rgb="FFFFFF00"/>
      </font>
    </dxf>
    <dxf>
      <font>
        <color rgb="FFFFFF00"/>
      </font>
    </dxf>
    <dxf>
      <font>
        <color rgb="FFFF0000"/>
      </font>
    </dxf>
    <dxf>
      <font>
        <color rgb="FF0000FF"/>
      </font>
    </dxf>
    <dxf>
      <font>
        <b/>
        <i val="0"/>
        <color rgb="FFFF00F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30"/>
      <c:rotY val="0"/>
      <c:rAngAx val="0"/>
      <c:perspective val="0"/>
    </c:view3D>
    <c:floor>
      <c:thickness val="0"/>
    </c:floor>
    <c:sideWall>
      <c:thickness val="0"/>
    </c:sideWall>
    <c:backWall>
      <c:thickness val="0"/>
    </c:backWall>
    <c:plotArea>
      <c:layout/>
      <c:pie3DChart>
        <c:varyColors val="1"/>
        <c:ser>
          <c:idx val="0"/>
          <c:order val="0"/>
          <c:dPt>
            <c:idx val="0"/>
            <c:bubble3D val="0"/>
            <c:spPr>
              <a:solidFill>
                <a:srgbClr val="FF0000"/>
              </a:solidFill>
            </c:spPr>
            <c:extLst>
              <c:ext xmlns:c16="http://schemas.microsoft.com/office/drawing/2014/chart" uri="{C3380CC4-5D6E-409C-BE32-E72D297353CC}">
                <c16:uniqueId val="{00000000-696D-4B2E-941B-CC2C7F915B6E}"/>
              </c:ext>
            </c:extLst>
          </c:dPt>
          <c:dPt>
            <c:idx val="1"/>
            <c:bubble3D val="0"/>
            <c:spPr>
              <a:solidFill>
                <a:srgbClr val="00FF00"/>
              </a:solidFill>
            </c:spPr>
            <c:extLst>
              <c:ext xmlns:c16="http://schemas.microsoft.com/office/drawing/2014/chart" uri="{C3380CC4-5D6E-409C-BE32-E72D297353CC}">
                <c16:uniqueId val="{00000001-696D-4B2E-941B-CC2C7F915B6E}"/>
              </c:ext>
            </c:extLst>
          </c:dPt>
          <c:dLbls>
            <c:dLbl>
              <c:idx val="0"/>
              <c:spPr>
                <a:noFill/>
                <a:ln w="25400">
                  <a:noFill/>
                </a:ln>
              </c:spPr>
              <c:txPr>
                <a:bodyPr/>
                <a:lstStyle/>
                <a:p>
                  <a:pPr>
                    <a:defRPr sz="1200" b="0" i="0" u="none" strike="noStrike" baseline="0">
                      <a:solidFill>
                        <a:srgbClr val="000000"/>
                      </a:solidFill>
                      <a:latin typeface="Times New Roman"/>
                      <a:ea typeface="Times New Roman"/>
                      <a:cs typeface="Times New Roman"/>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696D-4B2E-941B-CC2C7F915B6E}"/>
                </c:ext>
              </c:extLst>
            </c:dLbl>
            <c:dLbl>
              <c:idx val="1"/>
              <c:spPr>
                <a:noFill/>
                <a:ln w="25400">
                  <a:noFill/>
                </a:ln>
              </c:spPr>
              <c:txPr>
                <a:bodyPr/>
                <a:lstStyle/>
                <a:p>
                  <a:pPr>
                    <a:defRPr sz="1200" b="0" i="0" u="none" strike="noStrike" baseline="0">
                      <a:solidFill>
                        <a:srgbClr val="000000"/>
                      </a:solidFill>
                      <a:latin typeface="Times New Roman"/>
                      <a:ea typeface="Times New Roman"/>
                      <a:cs typeface="Times New Roman"/>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6D-4B2E-941B-CC2C7F915B6E}"/>
                </c:ext>
              </c:extLst>
            </c:dLbl>
            <c:spPr>
              <a:noFill/>
              <a:ln w="25400">
                <a:noFill/>
              </a:ln>
            </c:spPr>
            <c:txPr>
              <a:bodyPr wrap="square" lIns="38100" tIns="19050" rIns="38100" bIns="19050" anchor="ctr">
                <a:spAutoFit/>
              </a:bodyPr>
              <a:lstStyle/>
              <a:p>
                <a:pPr>
                  <a:defRPr sz="1200" b="0" i="0" u="none" strike="noStrike" baseline="0">
                    <a:solidFill>
                      <a:srgbClr val="000000"/>
                    </a:solidFill>
                    <a:latin typeface="Times New Roman"/>
                    <a:ea typeface="Times New Roman"/>
                    <a:cs typeface="Times New Roman"/>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'Bai 13'!$D$39:$E$39</c:f>
              <c:strCache>
                <c:ptCount val="2"/>
                <c:pt idx="0">
                  <c:v>Số thí sinh đậu</c:v>
                </c:pt>
                <c:pt idx="1">
                  <c:v>Số thí sinh rớt</c:v>
                </c:pt>
              </c:strCache>
            </c:strRef>
          </c:cat>
          <c:val>
            <c:numRef>
              <c:f>'Bai 13'!$D$40:$E$40</c:f>
              <c:numCache>
                <c:formatCode>General</c:formatCode>
                <c:ptCount val="2"/>
                <c:pt idx="0">
                  <c:v>4</c:v>
                </c:pt>
                <c:pt idx="1">
                  <c:v>4</c:v>
                </c:pt>
              </c:numCache>
            </c:numRef>
          </c:val>
          <c:extLst>
            <c:ext xmlns:c16="http://schemas.microsoft.com/office/drawing/2014/chart" uri="{C3380CC4-5D6E-409C-BE32-E72D297353CC}">
              <c16:uniqueId val="{00000002-696D-4B2E-941B-CC2C7F915B6E}"/>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1252322431604598"/>
          <c:y val="0.25831119327482771"/>
          <c:w val="0.27292556253041528"/>
          <c:h val="0.45757982808683767"/>
        </c:manualLayout>
      </c:layout>
      <c:overlay val="0"/>
      <c:txPr>
        <a:bodyPr/>
        <a:lstStyle/>
        <a:p>
          <a:pPr>
            <a:defRPr sz="1010"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016949152542373"/>
          <c:y val="6.5040650406504072E-2"/>
          <c:w val="0.82768361581920902"/>
          <c:h val="0.74390243902439024"/>
        </c:manualLayout>
      </c:layout>
      <c:barChart>
        <c:barDir val="col"/>
        <c:grouping val="clustered"/>
        <c:varyColors val="0"/>
        <c:ser>
          <c:idx val="0"/>
          <c:order val="0"/>
          <c:spPr>
            <a:solidFill>
              <a:srgbClr val="3333FF"/>
            </a:solidFill>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'Bai 14'!$G$21:$G$25</c:f>
              <c:strCache>
                <c:ptCount val="5"/>
                <c:pt idx="0">
                  <c:v>TV</c:v>
                </c:pt>
                <c:pt idx="1">
                  <c:v>ML</c:v>
                </c:pt>
                <c:pt idx="2">
                  <c:v>MPT</c:v>
                </c:pt>
                <c:pt idx="3">
                  <c:v>TL</c:v>
                </c:pt>
                <c:pt idx="4">
                  <c:v>MDT</c:v>
                </c:pt>
              </c:strCache>
            </c:strRef>
          </c:cat>
          <c:val>
            <c:numRef>
              <c:f>'Bai 14'!$H$21:$H$25</c:f>
              <c:numCache>
                <c:formatCode>General</c:formatCode>
                <c:ptCount val="5"/>
                <c:pt idx="0">
                  <c:v>50</c:v>
                </c:pt>
                <c:pt idx="1">
                  <c:v>25</c:v>
                </c:pt>
                <c:pt idx="2">
                  <c:v>50</c:v>
                </c:pt>
                <c:pt idx="3">
                  <c:v>30</c:v>
                </c:pt>
                <c:pt idx="4">
                  <c:v>45</c:v>
                </c:pt>
              </c:numCache>
            </c:numRef>
          </c:val>
          <c:extLst>
            <c:ext xmlns:c16="http://schemas.microsoft.com/office/drawing/2014/chart" uri="{C3380CC4-5D6E-409C-BE32-E72D297353CC}">
              <c16:uniqueId val="{00000000-EB18-466E-B6D2-CE0992173D0C}"/>
            </c:ext>
          </c:extLst>
        </c:ser>
        <c:ser>
          <c:idx val="1"/>
          <c:order val="1"/>
          <c:spPr>
            <a:solidFill>
              <a:srgbClr val="00FF00"/>
            </a:solidFill>
          </c:spPr>
          <c:invertIfNegative val="0"/>
          <c:dLbls>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'Bai 14'!$G$21:$G$25</c:f>
              <c:strCache>
                <c:ptCount val="5"/>
                <c:pt idx="0">
                  <c:v>TV</c:v>
                </c:pt>
                <c:pt idx="1">
                  <c:v>ML</c:v>
                </c:pt>
                <c:pt idx="2">
                  <c:v>MPT</c:v>
                </c:pt>
                <c:pt idx="3">
                  <c:v>TL</c:v>
                </c:pt>
                <c:pt idx="4">
                  <c:v>MDT</c:v>
                </c:pt>
              </c:strCache>
            </c:strRef>
          </c:cat>
          <c:val>
            <c:numRef>
              <c:f>'Bai 14'!$I$21:$I$25</c:f>
              <c:numCache>
                <c:formatCode>General</c:formatCode>
                <c:ptCount val="5"/>
              </c:numCache>
            </c:numRef>
          </c:val>
          <c:extLst>
            <c:ext xmlns:c16="http://schemas.microsoft.com/office/drawing/2014/chart" uri="{C3380CC4-5D6E-409C-BE32-E72D297353CC}">
              <c16:uniqueId val="{00000001-EB18-466E-B6D2-CE0992173D0C}"/>
            </c:ext>
          </c:extLst>
        </c:ser>
        <c:dLbls>
          <c:showLegendKey val="0"/>
          <c:showVal val="0"/>
          <c:showCatName val="0"/>
          <c:showSerName val="0"/>
          <c:showPercent val="0"/>
          <c:showBubbleSize val="0"/>
        </c:dLbls>
        <c:gapWidth val="75"/>
        <c:axId val="1927341071"/>
        <c:axId val="1"/>
      </c:barChart>
      <c:catAx>
        <c:axId val="1927341071"/>
        <c:scaling>
          <c:orientation val="minMax"/>
        </c:scaling>
        <c:delete val="0"/>
        <c:axPos val="b"/>
        <c:numFmt formatCode="General" sourceLinked="1"/>
        <c:majorTickMark val="none"/>
        <c:minorTickMark val="none"/>
        <c:tickLblPos val="nextTo"/>
        <c:txPr>
          <a:bodyPr rot="0" vert="horz"/>
          <a:lstStyle/>
          <a:p>
            <a:pPr>
              <a:defRPr sz="1200" b="1" i="0" u="none" strike="noStrike" baseline="0">
                <a:solidFill>
                  <a:srgbClr val="3366FF"/>
                </a:solidFill>
                <a:latin typeface="Times New Roman"/>
                <a:ea typeface="Times New Roman"/>
                <a:cs typeface="Times New Roman"/>
              </a:defRPr>
            </a:pPr>
            <a:endParaRPr lang="en-US"/>
          </a:p>
        </c:txPr>
        <c:crossAx val="1"/>
        <c:crosses val="autoZero"/>
        <c:auto val="0"/>
        <c:lblAlgn val="ctr"/>
        <c:lblOffset val="100"/>
        <c:noMultiLvlLbl val="0"/>
      </c:catAx>
      <c:valAx>
        <c:axId val="1"/>
        <c:scaling>
          <c:orientation val="minMax"/>
        </c:scaling>
        <c:delete val="0"/>
        <c:axPos val="l"/>
        <c:numFmt formatCode="General" sourceLinked="1"/>
        <c:majorTickMark val="none"/>
        <c:minorTickMark val="none"/>
        <c:tickLblPos val="nextTo"/>
        <c:txPr>
          <a:bodyPr rot="0" vert="horz"/>
          <a:lstStyle/>
          <a:p>
            <a:pPr>
              <a:defRPr sz="1200" b="0" i="0" u="none" strike="noStrike" baseline="0">
                <a:solidFill>
                  <a:srgbClr val="000000"/>
                </a:solidFill>
                <a:latin typeface="Arial"/>
                <a:ea typeface="Arial"/>
                <a:cs typeface="Arial"/>
              </a:defRPr>
            </a:pPr>
            <a:endParaRPr lang="en-US"/>
          </a:p>
        </c:txPr>
        <c:crossAx val="1927341071"/>
        <c:crosses val="autoZero"/>
        <c:crossBetween val="between"/>
      </c:valAx>
      <c:spPr>
        <a:solidFill>
          <a:srgbClr val="00FF00"/>
        </a:solidFill>
        <a:ln>
          <a:solidFill>
            <a:schemeClr val="bg1"/>
          </a:solidFill>
        </a:ln>
      </c:spPr>
    </c:plotArea>
    <c:plotVisOnly val="1"/>
    <c:dispBlanksAs val="gap"/>
    <c:showDLblsOverMax val="0"/>
  </c:chart>
  <c:spPr>
    <a:solidFill>
      <a:srgbClr val="FFCCFF"/>
    </a:solidFill>
  </c:spPr>
  <c:txPr>
    <a:bodyPr/>
    <a:lstStyle/>
    <a:p>
      <a:pPr>
        <a:defRPr sz="1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0"/>
    <c:view3D>
      <c:rotX val="30"/>
      <c:rotY val="0"/>
      <c:rAngAx val="0"/>
      <c:perspective val="0"/>
    </c:view3D>
    <c:floor>
      <c:thickness val="0"/>
    </c:floor>
    <c:sideWall>
      <c:thickness val="0"/>
    </c:sideWall>
    <c:backWall>
      <c:thickness val="0"/>
    </c:backWall>
    <c:plotArea>
      <c:layout/>
      <c:pie3DChart>
        <c:varyColors val="1"/>
        <c:ser>
          <c:idx val="0"/>
          <c:order val="0"/>
          <c:spPr>
            <a:ln>
              <a:noFill/>
            </a:ln>
          </c:spPr>
          <c:dPt>
            <c:idx val="0"/>
            <c:bubble3D val="0"/>
            <c:spPr>
              <a:solidFill>
                <a:srgbClr val="33CC33"/>
              </a:solidFill>
              <a:ln>
                <a:noFill/>
              </a:ln>
            </c:spPr>
            <c:extLst>
              <c:ext xmlns:c16="http://schemas.microsoft.com/office/drawing/2014/chart" uri="{C3380CC4-5D6E-409C-BE32-E72D297353CC}">
                <c16:uniqueId val="{00000000-658D-4A51-9978-3AA9157B4294}"/>
              </c:ext>
            </c:extLst>
          </c:dPt>
          <c:dPt>
            <c:idx val="1"/>
            <c:bubble3D val="0"/>
            <c:spPr>
              <a:solidFill>
                <a:srgbClr val="CCFF33"/>
              </a:solidFill>
              <a:ln>
                <a:noFill/>
              </a:ln>
            </c:spPr>
            <c:extLst>
              <c:ext xmlns:c16="http://schemas.microsoft.com/office/drawing/2014/chart" uri="{C3380CC4-5D6E-409C-BE32-E72D297353CC}">
                <c16:uniqueId val="{00000001-658D-4A51-9978-3AA9157B4294}"/>
              </c:ext>
            </c:extLst>
          </c:dPt>
          <c:dPt>
            <c:idx val="2"/>
            <c:bubble3D val="0"/>
            <c:spPr>
              <a:solidFill>
                <a:srgbClr val="FF0000"/>
              </a:solidFill>
              <a:ln>
                <a:noFill/>
              </a:ln>
            </c:spPr>
            <c:extLst>
              <c:ext xmlns:c16="http://schemas.microsoft.com/office/drawing/2014/chart" uri="{C3380CC4-5D6E-409C-BE32-E72D297353CC}">
                <c16:uniqueId val="{00000002-658D-4A51-9978-3AA9157B4294}"/>
              </c:ext>
            </c:extLst>
          </c:dPt>
          <c:dPt>
            <c:idx val="3"/>
            <c:bubble3D val="0"/>
            <c:spPr>
              <a:solidFill>
                <a:srgbClr val="66FFFF"/>
              </a:solidFill>
              <a:ln>
                <a:noFill/>
              </a:ln>
            </c:spPr>
            <c:extLst>
              <c:ext xmlns:c16="http://schemas.microsoft.com/office/drawing/2014/chart" uri="{C3380CC4-5D6E-409C-BE32-E72D297353CC}">
                <c16:uniqueId val="{00000003-658D-4A51-9978-3AA9157B4294}"/>
              </c:ext>
            </c:extLst>
          </c:dPt>
          <c:dPt>
            <c:idx val="4"/>
            <c:bubble3D val="0"/>
            <c:spPr>
              <a:solidFill>
                <a:srgbClr val="FF66CC"/>
              </a:solidFill>
              <a:ln>
                <a:noFill/>
              </a:ln>
            </c:spPr>
            <c:extLst>
              <c:ext xmlns:c16="http://schemas.microsoft.com/office/drawing/2014/chart" uri="{C3380CC4-5D6E-409C-BE32-E72D297353CC}">
                <c16:uniqueId val="{00000004-658D-4A51-9978-3AA9157B4294}"/>
              </c:ext>
            </c:extLst>
          </c:dPt>
          <c:dLbls>
            <c:dLbl>
              <c:idx val="0"/>
              <c:layout>
                <c:manualLayout>
                  <c:x val="-0.2164390012957241"/>
                  <c:y val="2.9340057982948208E-2"/>
                </c:manualLayout>
              </c:layout>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8D-4A51-9978-3AA9157B4294}"/>
                </c:ext>
              </c:extLst>
            </c:dLbl>
            <c:dLbl>
              <c:idx val="1"/>
              <c:layout>
                <c:manualLayout>
                  <c:x val="1.5115286222133626E-2"/>
                  <c:y val="8.8782529634776047E-3"/>
                </c:manualLayout>
              </c:layout>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8D-4A51-9978-3AA9157B4294}"/>
                </c:ext>
              </c:extLst>
            </c:dLbl>
            <c:dLbl>
              <c:idx val="3"/>
              <c:layout>
                <c:manualLayout>
                  <c:x val="0.22638958104920429"/>
                  <c:y val="-0.22274509803921569"/>
                </c:manualLayout>
              </c:layout>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58D-4A51-9978-3AA9157B4294}"/>
                </c:ext>
              </c:extLst>
            </c:dLbl>
            <c:dLbl>
              <c:idx val="4"/>
              <c:layout>
                <c:manualLayout>
                  <c:x val="0.14443420047177646"/>
                  <c:y val="0.12181222445233561"/>
                </c:manualLayout>
              </c:layout>
              <c:spPr>
                <a:noFill/>
                <a:ln w="25400">
                  <a:noFill/>
                </a:ln>
              </c:spPr>
              <c:txPr>
                <a:bodyPr/>
                <a:lstStyle/>
                <a:p>
                  <a:pPr>
                    <a:defRPr sz="1000" b="0" i="0" u="none" strike="noStrike" baseline="0">
                      <a:solidFill>
                        <a:srgbClr val="000000"/>
                      </a:solidFill>
                      <a:latin typeface="Arial"/>
                      <a:ea typeface="Arial"/>
                      <a:cs typeface="Arial"/>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58D-4A51-9978-3AA9157B4294}"/>
                </c:ext>
              </c:extLst>
            </c:dLbl>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Sheet21A!$I$4:$I$8</c:f>
              <c:strCache>
                <c:ptCount val="5"/>
                <c:pt idx="0">
                  <c:v>Sữa Chua Dừa</c:v>
                </c:pt>
                <c:pt idx="1">
                  <c:v>Sữa Chua Chanh</c:v>
                </c:pt>
                <c:pt idx="2">
                  <c:v>Sữa Chua Dâu</c:v>
                </c:pt>
                <c:pt idx="3">
                  <c:v>Sữa Tươi TT</c:v>
                </c:pt>
                <c:pt idx="4">
                  <c:v>Sữa Chua Vải</c:v>
                </c:pt>
              </c:strCache>
            </c:strRef>
          </c:cat>
          <c:val>
            <c:numRef>
              <c:f>Sheet21A!$J$4:$J$8</c:f>
              <c:numCache>
                <c:formatCode>General</c:formatCode>
                <c:ptCount val="5"/>
                <c:pt idx="0">
                  <c:v>15274100</c:v>
                </c:pt>
                <c:pt idx="1">
                  <c:v>783900</c:v>
                </c:pt>
                <c:pt idx="2">
                  <c:v>2820600</c:v>
                </c:pt>
                <c:pt idx="3">
                  <c:v>9450000</c:v>
                </c:pt>
                <c:pt idx="4">
                  <c:v>6683600</c:v>
                </c:pt>
              </c:numCache>
            </c:numRef>
          </c:val>
          <c:extLst>
            <c:ext xmlns:c16="http://schemas.microsoft.com/office/drawing/2014/chart" uri="{C3380CC4-5D6E-409C-BE32-E72D297353CC}">
              <c16:uniqueId val="{00000005-658D-4A51-9978-3AA9157B4294}"/>
            </c:ext>
          </c:extLst>
        </c:ser>
        <c:ser>
          <c:idx val="1"/>
          <c:order val="1"/>
          <c:dPt>
            <c:idx val="0"/>
            <c:bubble3D val="0"/>
            <c:extLst>
              <c:ext xmlns:c16="http://schemas.microsoft.com/office/drawing/2014/chart" uri="{C3380CC4-5D6E-409C-BE32-E72D297353CC}">
                <c16:uniqueId val="{00000006-658D-4A51-9978-3AA9157B4294}"/>
              </c:ext>
            </c:extLst>
          </c:dPt>
          <c:dPt>
            <c:idx val="1"/>
            <c:bubble3D val="0"/>
            <c:extLst>
              <c:ext xmlns:c16="http://schemas.microsoft.com/office/drawing/2014/chart" uri="{C3380CC4-5D6E-409C-BE32-E72D297353CC}">
                <c16:uniqueId val="{00000007-658D-4A51-9978-3AA9157B4294}"/>
              </c:ext>
            </c:extLst>
          </c:dPt>
          <c:dPt>
            <c:idx val="2"/>
            <c:bubble3D val="0"/>
            <c:extLst>
              <c:ext xmlns:c16="http://schemas.microsoft.com/office/drawing/2014/chart" uri="{C3380CC4-5D6E-409C-BE32-E72D297353CC}">
                <c16:uniqueId val="{00000008-658D-4A51-9978-3AA9157B4294}"/>
              </c:ext>
            </c:extLst>
          </c:dPt>
          <c:dPt>
            <c:idx val="3"/>
            <c:bubble3D val="0"/>
            <c:extLst>
              <c:ext xmlns:c16="http://schemas.microsoft.com/office/drawing/2014/chart" uri="{C3380CC4-5D6E-409C-BE32-E72D297353CC}">
                <c16:uniqueId val="{00000009-658D-4A51-9978-3AA9157B4294}"/>
              </c:ext>
            </c:extLst>
          </c:dPt>
          <c:dPt>
            <c:idx val="4"/>
            <c:bubble3D val="0"/>
            <c:extLst>
              <c:ext xmlns:c16="http://schemas.microsoft.com/office/drawing/2014/chart" uri="{C3380CC4-5D6E-409C-BE32-E72D297353CC}">
                <c16:uniqueId val="{0000000A-658D-4A51-9978-3AA9157B4294}"/>
              </c:ext>
            </c:extLst>
          </c:dPt>
          <c:dLbls>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Sheet21A!$I$4:$I$8</c:f>
              <c:strCache>
                <c:ptCount val="5"/>
                <c:pt idx="0">
                  <c:v>Sữa Chua Dừa</c:v>
                </c:pt>
                <c:pt idx="1">
                  <c:v>Sữa Chua Chanh</c:v>
                </c:pt>
                <c:pt idx="2">
                  <c:v>Sữa Chua Dâu</c:v>
                </c:pt>
                <c:pt idx="3">
                  <c:v>Sữa Tươi TT</c:v>
                </c:pt>
                <c:pt idx="4">
                  <c:v>Sữa Chua Vải</c:v>
                </c:pt>
              </c:strCache>
            </c:strRef>
          </c:cat>
          <c:val>
            <c:numRef>
              <c:f>Sheet21A!$K$4:$K$8</c:f>
              <c:numCache>
                <c:formatCode>General</c:formatCode>
                <c:ptCount val="5"/>
                <c:pt idx="0">
                  <c:v>15485062</c:v>
                </c:pt>
                <c:pt idx="1">
                  <c:v>807417</c:v>
                </c:pt>
                <c:pt idx="2">
                  <c:v>2897604</c:v>
                </c:pt>
                <c:pt idx="3">
                  <c:v>9629610</c:v>
                </c:pt>
                <c:pt idx="4">
                  <c:v>6827934</c:v>
                </c:pt>
              </c:numCache>
            </c:numRef>
          </c:val>
          <c:extLst>
            <c:ext xmlns:c16="http://schemas.microsoft.com/office/drawing/2014/chart" uri="{C3380CC4-5D6E-409C-BE32-E72D297353CC}">
              <c16:uniqueId val="{0000000B-658D-4A51-9978-3AA9157B429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Times New Roman"/>
                <a:ea typeface="Times New Roman"/>
                <a:cs typeface="Times New Roman"/>
              </a:defRPr>
            </a:pPr>
            <a:r>
              <a:rPr lang="en-US"/>
              <a:t>biểu đồ thống kê</a:t>
            </a:r>
          </a:p>
        </c:rich>
      </c:tx>
      <c:layout>
        <c:manualLayout>
          <c:xMode val="edge"/>
          <c:yMode val="edge"/>
          <c:x val="0.27466182111851406"/>
          <c:y val="8.2437486011922925E-2"/>
        </c:manualLayout>
      </c:layout>
      <c:overlay val="0"/>
      <c:spPr>
        <a:noFill/>
        <a:ln w="25400">
          <a:noFill/>
        </a:ln>
      </c:spPr>
    </c:title>
    <c:autoTitleDeleted val="0"/>
    <c:view3D>
      <c:rotX val="15"/>
      <c:rotY val="0"/>
      <c:rAngAx val="0"/>
      <c:perspective val="0"/>
    </c:view3D>
    <c:floor>
      <c:thickness val="0"/>
    </c:floor>
    <c:sideWall>
      <c:thickness val="0"/>
    </c:sideWall>
    <c:backWall>
      <c:thickness val="0"/>
    </c:backWall>
    <c:plotArea>
      <c:layout>
        <c:manualLayout>
          <c:layoutTarget val="inner"/>
          <c:xMode val="edge"/>
          <c:yMode val="edge"/>
          <c:x val="0.13346240844717916"/>
          <c:y val="0.40860358074170006"/>
          <c:w val="0.35783399366272672"/>
          <c:h val="0.26523390328847196"/>
        </c:manualLayout>
      </c:layout>
      <c:pie3D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E710-46D3-86C2-0A2315F7294A}"/>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E710-46D3-86C2-0A2315F7294A}"/>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E710-46D3-86C2-0A2315F7294A}"/>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E710-46D3-86C2-0A2315F7294A}"/>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E710-46D3-86C2-0A2315F7294A}"/>
              </c:ext>
            </c:extLst>
          </c:dPt>
          <c:dLbls>
            <c:spPr>
              <a:noFill/>
              <a:ln w="25400">
                <a:noFill/>
              </a:ln>
            </c:spPr>
            <c:txPr>
              <a:bodyPr wrap="square" lIns="38100" tIns="19050" rIns="38100" bIns="19050" anchor="ctr">
                <a:spAutoFit/>
              </a:bodyPr>
              <a:lstStyle/>
              <a:p>
                <a:pPr>
                  <a:defRPr sz="1050" b="0" i="0" u="none" strike="noStrike" baseline="0">
                    <a:solidFill>
                      <a:srgbClr val="000000"/>
                    </a:solidFill>
                    <a:latin typeface="Times New Roman"/>
                    <a:ea typeface="Times New Roman"/>
                    <a:cs typeface="Times New Roman"/>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Lit>
              <c:ptCount val="5"/>
              <c:pt idx="0">
                <c:v>Sữa Chua Dừa</c:v>
              </c:pt>
              <c:pt idx="1">
                <c:v>Sữa Chua Chanh</c:v>
              </c:pt>
              <c:pt idx="2">
                <c:v>Sữa Chua Dâu</c:v>
              </c:pt>
              <c:pt idx="3">
                <c:v>Sữa Tươi TT</c:v>
              </c:pt>
              <c:pt idx="4">
                <c:v>Sữa Chua Vải</c:v>
              </c:pt>
            </c:strLit>
          </c:cat>
          <c:val>
            <c:numLit>
              <c:formatCode>General</c:formatCode>
              <c:ptCount val="5"/>
              <c:pt idx="0">
                <c:v>15274100</c:v>
              </c:pt>
              <c:pt idx="1">
                <c:v>783900</c:v>
              </c:pt>
              <c:pt idx="2">
                <c:v>2820600</c:v>
              </c:pt>
              <c:pt idx="3">
                <c:v>9450000</c:v>
              </c:pt>
              <c:pt idx="4">
                <c:v>6683600</c:v>
              </c:pt>
            </c:numLit>
          </c:val>
          <c:extLst>
            <c:ext xmlns:c16="http://schemas.microsoft.com/office/drawing/2014/chart" uri="{C3380CC4-5D6E-409C-BE32-E72D297353CC}">
              <c16:uniqueId val="{00000005-E710-46D3-86C2-0A2315F7294A}"/>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73410505183233421"/>
          <c:y val="6.4518359090767891E-2"/>
          <c:w val="0.2378350550579246"/>
          <c:h val="0.69536453686716493"/>
        </c:manualLayout>
      </c:layout>
      <c:overlay val="0"/>
      <c:spPr>
        <a:solidFill>
          <a:srgbClr val="FFFFFF"/>
        </a:solidFill>
        <a:ln w="3175">
          <a:solidFill>
            <a:srgbClr val="000000"/>
          </a:solidFill>
          <a:prstDash val="solid"/>
        </a:ln>
      </c:spPr>
      <c:txPr>
        <a:bodyPr/>
        <a:lstStyle/>
        <a:p>
          <a:pPr>
            <a:defRPr sz="850" b="0" i="0" u="none" strike="noStrike" baseline="0">
              <a:solidFill>
                <a:srgbClr val="000000"/>
              </a:solidFill>
              <a:latin typeface="Times New Roman"/>
              <a:ea typeface="Times New Roman"/>
              <a:cs typeface="Times New Roman"/>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Times New Roman"/>
          <a:ea typeface="Times New Roman"/>
          <a:cs typeface="Times New Roman"/>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19050</xdr:colOff>
      <xdr:row>23</xdr:row>
      <xdr:rowOff>9525</xdr:rowOff>
    </xdr:from>
    <xdr:to>
      <xdr:col>19</xdr:col>
      <xdr:colOff>9525</xdr:colOff>
      <xdr:row>34</xdr:row>
      <xdr:rowOff>190500</xdr:rowOff>
    </xdr:to>
    <xdr:graphicFrame macro="">
      <xdr:nvGraphicFramePr>
        <xdr:cNvPr id="13431" name="BIỂU ĐỒ">
          <a:extLst>
            <a:ext uri="{FF2B5EF4-FFF2-40B4-BE49-F238E27FC236}">
              <a16:creationId xmlns:a16="http://schemas.microsoft.com/office/drawing/2014/main" id="{1984B46F-847A-BD68-6A97-7D5A36F62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57150</xdr:colOff>
      <xdr:row>36</xdr:row>
      <xdr:rowOff>47625</xdr:rowOff>
    </xdr:from>
    <xdr:to>
      <xdr:col>17</xdr:col>
      <xdr:colOff>28575</xdr:colOff>
      <xdr:row>46</xdr:row>
      <xdr:rowOff>190500</xdr:rowOff>
    </xdr:to>
    <xdr:graphicFrame macro="">
      <xdr:nvGraphicFramePr>
        <xdr:cNvPr id="2315" name="Chart 21">
          <a:extLst>
            <a:ext uri="{FF2B5EF4-FFF2-40B4-BE49-F238E27FC236}">
              <a16:creationId xmlns:a16="http://schemas.microsoft.com/office/drawing/2014/main" id="{DC4E42F1-708D-DB02-B55C-A5809B293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42864</xdr:colOff>
      <xdr:row>1</xdr:row>
      <xdr:rowOff>57150</xdr:rowOff>
    </xdr:from>
    <xdr:to>
      <xdr:col>7</xdr:col>
      <xdr:colOff>9535</xdr:colOff>
      <xdr:row>3</xdr:row>
      <xdr:rowOff>38100</xdr:rowOff>
    </xdr:to>
    <xdr:sp macro="" textlink="">
      <xdr:nvSpPr>
        <xdr:cNvPr id="4" name="AutoShape 1">
          <a:extLst>
            <a:ext uri="{FF2B5EF4-FFF2-40B4-BE49-F238E27FC236}">
              <a16:creationId xmlns:a16="http://schemas.microsoft.com/office/drawing/2014/main" id="{A134C9D2-4CCF-770C-D4E6-7C9186FD5662}"/>
            </a:ext>
          </a:extLst>
        </xdr:cNvPr>
        <xdr:cNvSpPr>
          <a:spLocks noChangeArrowheads="1"/>
        </xdr:cNvSpPr>
      </xdr:nvSpPr>
      <xdr:spPr bwMode="auto">
        <a:xfrm>
          <a:off x="47626" y="257175"/>
          <a:ext cx="4933950" cy="304800"/>
        </a:xfrm>
        <a:prstGeom prst="roundRect">
          <a:avLst>
            <a:gd name="adj" fmla="val 16667"/>
          </a:avLst>
        </a:prstGeom>
        <a:solidFill>
          <a:srgbClr val="FFFF00"/>
        </a:solidFill>
        <a:ln w="9525">
          <a:solidFill>
            <a:srgbClr val="000000"/>
          </a:solidFill>
          <a:round/>
          <a:headEnd/>
          <a:tailEnd/>
        </a:ln>
        <a:effectLst/>
      </xdr:spPr>
      <xdr:txBody>
        <a:bodyPr vertOverflow="clip" wrap="square" lIns="36576" tIns="27432" rIns="36576" bIns="0" anchor="t" upright="1"/>
        <a:lstStyle/>
        <a:p>
          <a:pPr algn="ctr" rtl="0">
            <a:defRPr sz="1000"/>
          </a:pPr>
          <a:r>
            <a:rPr lang="vi-VN" sz="1300" b="1" i="0" u="none" strike="noStrike" baseline="0">
              <a:solidFill>
                <a:srgbClr val="FF0000"/>
              </a:solidFill>
              <a:latin typeface="Arial"/>
              <a:cs typeface="Arial"/>
            </a:rPr>
            <a:t>BẢNG THỐNG KÊ NHẬP XUẤT HÀNG NĂM 2006</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228600</xdr:colOff>
      <xdr:row>13</xdr:row>
      <xdr:rowOff>9525</xdr:rowOff>
    </xdr:from>
    <xdr:to>
      <xdr:col>21</xdr:col>
      <xdr:colOff>523875</xdr:colOff>
      <xdr:row>28</xdr:row>
      <xdr:rowOff>66675</xdr:rowOff>
    </xdr:to>
    <xdr:graphicFrame macro="">
      <xdr:nvGraphicFramePr>
        <xdr:cNvPr id="43151" name="Chart 1">
          <a:extLst>
            <a:ext uri="{FF2B5EF4-FFF2-40B4-BE49-F238E27FC236}">
              <a16:creationId xmlns:a16="http://schemas.microsoft.com/office/drawing/2014/main" id="{BBEE8630-C981-224F-196A-378C505D4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142875</xdr:colOff>
      <xdr:row>15</xdr:row>
      <xdr:rowOff>85725</xdr:rowOff>
    </xdr:from>
    <xdr:to>
      <xdr:col>18</xdr:col>
      <xdr:colOff>190500</xdr:colOff>
      <xdr:row>29</xdr:row>
      <xdr:rowOff>76200</xdr:rowOff>
    </xdr:to>
    <xdr:graphicFrame macro="">
      <xdr:nvGraphicFramePr>
        <xdr:cNvPr id="44175" name="Chart 1">
          <a:extLst>
            <a:ext uri="{FF2B5EF4-FFF2-40B4-BE49-F238E27FC236}">
              <a16:creationId xmlns:a16="http://schemas.microsoft.com/office/drawing/2014/main" id="{DAF00D43-E9A4-7527-563A-3ADE4514F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facebook.com/hocexcelcoban"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www.facebook.com/hocexcelcoban"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CBB97-EE19-4045-9F5E-C0728B9F87AE}">
  <dimension ref="A1:J46"/>
  <sheetViews>
    <sheetView topLeftCell="A2" zoomScale="110" zoomScaleNormal="110" workbookViewId="0">
      <selection activeCell="H15" sqref="H15"/>
    </sheetView>
  </sheetViews>
  <sheetFormatPr defaultRowHeight="15.75"/>
  <cols>
    <col min="1" max="1" width="5.28515625" style="145" customWidth="1"/>
    <col min="2" max="2" width="5.42578125" style="145" customWidth="1"/>
    <col min="3" max="3" width="12.140625" style="145" customWidth="1"/>
    <col min="4" max="4" width="12.85546875" style="145" customWidth="1"/>
    <col min="5" max="5" width="12.42578125" style="145" customWidth="1"/>
    <col min="6" max="6" width="13.7109375" style="145" customWidth="1"/>
    <col min="7" max="7" width="13.42578125" style="145" customWidth="1"/>
    <col min="8" max="8" width="16" style="145" customWidth="1"/>
    <col min="9" max="9" width="15.85546875" style="145" bestFit="1" customWidth="1"/>
    <col min="10" max="16384" width="9.140625" style="145"/>
  </cols>
  <sheetData>
    <row r="1" spans="1:10">
      <c r="A1" s="584" t="s">
        <v>1975</v>
      </c>
      <c r="B1" s="584"/>
      <c r="J1" s="886"/>
    </row>
    <row r="2" spans="1:10">
      <c r="A2" s="145" t="s">
        <v>1976</v>
      </c>
    </row>
    <row r="3" spans="1:10" ht="18.75" customHeight="1" thickBot="1">
      <c r="A3" s="921" t="s">
        <v>1977</v>
      </c>
      <c r="B3" s="921"/>
      <c r="C3" s="921"/>
      <c r="D3" s="921"/>
      <c r="E3" s="921"/>
      <c r="F3" s="921"/>
      <c r="G3" s="921"/>
      <c r="H3" s="921"/>
    </row>
    <row r="4" spans="1:10" ht="17.25" thickTop="1" thickBot="1">
      <c r="A4" s="16"/>
      <c r="B4" s="753" t="s">
        <v>1978</v>
      </c>
      <c r="C4" s="925" t="s">
        <v>1980</v>
      </c>
      <c r="D4" s="925" t="s">
        <v>1981</v>
      </c>
      <c r="E4" s="925" t="s">
        <v>1982</v>
      </c>
      <c r="F4" s="925" t="s">
        <v>1983</v>
      </c>
      <c r="G4" s="925" t="s">
        <v>1984</v>
      </c>
      <c r="H4" s="927" t="s">
        <v>1985</v>
      </c>
    </row>
    <row r="5" spans="1:10" ht="21.75" customHeight="1" thickTop="1">
      <c r="A5" s="407" t="s">
        <v>1979</v>
      </c>
      <c r="B5" s="752"/>
      <c r="C5" s="926"/>
      <c r="D5" s="926"/>
      <c r="E5" s="926"/>
      <c r="F5" s="926"/>
      <c r="G5" s="926"/>
      <c r="H5" s="928"/>
    </row>
    <row r="6" spans="1:10">
      <c r="A6" s="942">
        <v>0.28472222222222221</v>
      </c>
      <c r="B6" s="943"/>
      <c r="C6" s="101" t="s">
        <v>1989</v>
      </c>
      <c r="D6" s="408" t="s">
        <v>0</v>
      </c>
      <c r="E6" s="938" t="s">
        <v>5</v>
      </c>
      <c r="F6" s="409" t="s">
        <v>5</v>
      </c>
      <c r="G6" s="410" t="s">
        <v>2</v>
      </c>
      <c r="H6" s="411" t="s">
        <v>4</v>
      </c>
    </row>
    <row r="7" spans="1:10">
      <c r="A7" s="942">
        <v>0.3923611111111111</v>
      </c>
      <c r="B7" s="943"/>
      <c r="C7" s="412"/>
      <c r="D7" s="936" t="s">
        <v>5</v>
      </c>
      <c r="E7" s="939"/>
      <c r="F7" s="409" t="s">
        <v>1990</v>
      </c>
      <c r="G7" s="931" t="s">
        <v>5</v>
      </c>
      <c r="H7" s="922" t="s">
        <v>5</v>
      </c>
    </row>
    <row r="8" spans="1:10">
      <c r="A8" s="942">
        <v>0.52083333333333337</v>
      </c>
      <c r="B8" s="943"/>
      <c r="C8" s="101" t="s">
        <v>1986</v>
      </c>
      <c r="D8" s="937"/>
      <c r="E8" s="413" t="s">
        <v>1987</v>
      </c>
      <c r="F8" s="409" t="s">
        <v>1</v>
      </c>
      <c r="G8" s="932"/>
      <c r="H8" s="923"/>
    </row>
    <row r="9" spans="1:10">
      <c r="A9" s="942">
        <v>0.62847222222222221</v>
      </c>
      <c r="B9" s="943"/>
      <c r="C9" s="934" t="s">
        <v>5</v>
      </c>
      <c r="D9" s="408" t="s">
        <v>3</v>
      </c>
      <c r="E9" s="413" t="s">
        <v>1988</v>
      </c>
      <c r="F9" s="940" t="s">
        <v>5</v>
      </c>
      <c r="G9" s="932"/>
      <c r="H9" s="924"/>
    </row>
    <row r="10" spans="1:10" ht="16.5" thickBot="1">
      <c r="A10" s="929">
        <v>0.73958333333333337</v>
      </c>
      <c r="B10" s="930"/>
      <c r="C10" s="935"/>
      <c r="D10" s="414" t="s">
        <v>5</v>
      </c>
      <c r="E10" s="405" t="s">
        <v>4</v>
      </c>
      <c r="F10" s="941"/>
      <c r="G10" s="933"/>
      <c r="H10" s="415" t="s">
        <v>4</v>
      </c>
    </row>
    <row r="11" spans="1:10" ht="16.5" thickTop="1">
      <c r="A11" s="145" t="s">
        <v>44</v>
      </c>
    </row>
    <row r="12" spans="1:10">
      <c r="A12" s="917" t="s">
        <v>36</v>
      </c>
      <c r="B12" s="917"/>
      <c r="C12" s="917"/>
      <c r="D12" s="917"/>
      <c r="E12" s="918" t="s">
        <v>37</v>
      </c>
      <c r="F12" s="919"/>
      <c r="G12" s="920"/>
      <c r="H12" s="754"/>
    </row>
    <row r="13" spans="1:10" ht="18.75">
      <c r="A13" s="755" t="s">
        <v>1139</v>
      </c>
      <c r="B13" s="755" t="s">
        <v>1140</v>
      </c>
      <c r="C13" s="755" t="s">
        <v>1141</v>
      </c>
      <c r="D13" s="755" t="s">
        <v>833</v>
      </c>
      <c r="E13" s="755" t="s">
        <v>834</v>
      </c>
      <c r="F13" s="755" t="s">
        <v>835</v>
      </c>
      <c r="G13" s="756" t="s">
        <v>836</v>
      </c>
    </row>
    <row r="14" spans="1:10">
      <c r="A14" s="383">
        <v>1</v>
      </c>
      <c r="B14" s="383">
        <v>-9</v>
      </c>
      <c r="C14" s="383">
        <v>1</v>
      </c>
      <c r="D14" s="391">
        <f>A14^2</f>
        <v>1</v>
      </c>
      <c r="E14" s="391">
        <f>C14^2</f>
        <v>1</v>
      </c>
      <c r="F14" s="391">
        <f>D14+(B14)^2</f>
        <v>82</v>
      </c>
      <c r="G14" s="391">
        <f>(B14)^2-4*A14*C14</f>
        <v>77</v>
      </c>
    </row>
    <row r="15" spans="1:10">
      <c r="A15" s="383">
        <v>2</v>
      </c>
      <c r="B15" s="383">
        <v>-7</v>
      </c>
      <c r="C15" s="383">
        <v>2.5</v>
      </c>
      <c r="D15" s="391">
        <f t="shared" ref="D15:D21" si="0">A15^2</f>
        <v>4</v>
      </c>
      <c r="E15" s="391">
        <f t="shared" ref="E15:E21" si="1">C15^2</f>
        <v>6.25</v>
      </c>
      <c r="F15" s="391">
        <f t="shared" ref="F15:F21" si="2">D15+(B15)^2</f>
        <v>53</v>
      </c>
      <c r="G15" s="391">
        <f t="shared" ref="G15:G21" si="3">(B15)^2-4*A15*C15</f>
        <v>29</v>
      </c>
    </row>
    <row r="16" spans="1:10">
      <c r="A16" s="383">
        <v>3</v>
      </c>
      <c r="B16" s="383">
        <v>-5</v>
      </c>
      <c r="C16" s="383">
        <v>4</v>
      </c>
      <c r="D16" s="391">
        <f t="shared" si="0"/>
        <v>9</v>
      </c>
      <c r="E16" s="391">
        <f t="shared" si="1"/>
        <v>16</v>
      </c>
      <c r="F16" s="391">
        <f t="shared" si="2"/>
        <v>34</v>
      </c>
      <c r="G16" s="391">
        <f t="shared" si="3"/>
        <v>-23</v>
      </c>
    </row>
    <row r="17" spans="1:7">
      <c r="A17" s="383">
        <v>4</v>
      </c>
      <c r="B17" s="383">
        <v>-3</v>
      </c>
      <c r="C17" s="383">
        <v>5.5</v>
      </c>
      <c r="D17" s="391">
        <f t="shared" si="0"/>
        <v>16</v>
      </c>
      <c r="E17" s="391">
        <f t="shared" si="1"/>
        <v>30.25</v>
      </c>
      <c r="F17" s="391">
        <f t="shared" si="2"/>
        <v>25</v>
      </c>
      <c r="G17" s="391">
        <f t="shared" si="3"/>
        <v>-79</v>
      </c>
    </row>
    <row r="18" spans="1:7">
      <c r="A18" s="383">
        <v>5</v>
      </c>
      <c r="B18" s="383">
        <v>-1</v>
      </c>
      <c r="C18" s="383">
        <v>7</v>
      </c>
      <c r="D18" s="391">
        <f t="shared" si="0"/>
        <v>25</v>
      </c>
      <c r="E18" s="391">
        <f t="shared" si="1"/>
        <v>49</v>
      </c>
      <c r="F18" s="391">
        <f t="shared" si="2"/>
        <v>26</v>
      </c>
      <c r="G18" s="391">
        <f t="shared" si="3"/>
        <v>-139</v>
      </c>
    </row>
    <row r="19" spans="1:7">
      <c r="A19" s="383">
        <v>6</v>
      </c>
      <c r="B19" s="383">
        <v>1</v>
      </c>
      <c r="C19" s="383">
        <v>8.5</v>
      </c>
      <c r="D19" s="391">
        <f t="shared" si="0"/>
        <v>36</v>
      </c>
      <c r="E19" s="391">
        <f t="shared" si="1"/>
        <v>72.25</v>
      </c>
      <c r="F19" s="391">
        <f t="shared" si="2"/>
        <v>37</v>
      </c>
      <c r="G19" s="391">
        <f t="shared" si="3"/>
        <v>-203</v>
      </c>
    </row>
    <row r="20" spans="1:7">
      <c r="A20" s="383">
        <v>7</v>
      </c>
      <c r="B20" s="383">
        <v>3</v>
      </c>
      <c r="C20" s="383">
        <v>10</v>
      </c>
      <c r="D20" s="391">
        <f t="shared" si="0"/>
        <v>49</v>
      </c>
      <c r="E20" s="391">
        <f t="shared" si="1"/>
        <v>100</v>
      </c>
      <c r="F20" s="391">
        <f t="shared" si="2"/>
        <v>58</v>
      </c>
      <c r="G20" s="391">
        <f t="shared" si="3"/>
        <v>-271</v>
      </c>
    </row>
    <row r="21" spans="1:7">
      <c r="A21" s="383">
        <v>8</v>
      </c>
      <c r="B21" s="383">
        <v>5</v>
      </c>
      <c r="C21" s="383">
        <v>11.5</v>
      </c>
      <c r="D21" s="391">
        <f t="shared" si="0"/>
        <v>64</v>
      </c>
      <c r="E21" s="391">
        <f t="shared" si="1"/>
        <v>132.25</v>
      </c>
      <c r="F21" s="391">
        <f t="shared" si="2"/>
        <v>89</v>
      </c>
      <c r="G21" s="391">
        <f t="shared" si="3"/>
        <v>-343</v>
      </c>
    </row>
    <row r="22" spans="1:7">
      <c r="A22" s="145" t="s">
        <v>22</v>
      </c>
    </row>
    <row r="23" spans="1:7" ht="18.75">
      <c r="A23" s="69" t="s">
        <v>1347</v>
      </c>
      <c r="B23" s="69" t="s">
        <v>6</v>
      </c>
      <c r="C23" s="69" t="s">
        <v>33</v>
      </c>
      <c r="D23" s="69" t="s">
        <v>9</v>
      </c>
      <c r="E23" s="69" t="s">
        <v>7</v>
      </c>
      <c r="F23" s="69" t="s">
        <v>8</v>
      </c>
    </row>
    <row r="24" spans="1:7">
      <c r="A24" s="757">
        <v>9</v>
      </c>
      <c r="B24" s="757">
        <v>5</v>
      </c>
      <c r="C24" s="391">
        <f>(A24+B24)^2</f>
        <v>196</v>
      </c>
      <c r="D24" s="391">
        <f>A24^2+2*A24*B24+B24^2</f>
        <v>196</v>
      </c>
      <c r="E24" s="758">
        <f>A24/B24</f>
        <v>1.8</v>
      </c>
      <c r="F24" s="391">
        <f>3*A24*B24</f>
        <v>135</v>
      </c>
    </row>
    <row r="25" spans="1:7">
      <c r="A25" s="757">
        <v>125</v>
      </c>
      <c r="B25" s="757">
        <v>48</v>
      </c>
      <c r="C25" s="391">
        <f>(A25+B25)^2</f>
        <v>29929</v>
      </c>
      <c r="D25" s="391">
        <f>A25^2+2*A25*B25+B25^2</f>
        <v>29929</v>
      </c>
      <c r="E25" s="758">
        <f>A25/B25</f>
        <v>2.6041666666666665</v>
      </c>
      <c r="F25" s="391">
        <f>3*A25*B25</f>
        <v>18000</v>
      </c>
    </row>
    <row r="26" spans="1:7">
      <c r="A26" s="757">
        <v>32</v>
      </c>
      <c r="B26" s="757">
        <v>18</v>
      </c>
      <c r="C26" s="391">
        <f>(A26+B26)^2</f>
        <v>2500</v>
      </c>
      <c r="D26" s="391">
        <f>A26^2+2*A26*B26+B26^2</f>
        <v>2500</v>
      </c>
      <c r="E26" s="758">
        <f>A26/B26</f>
        <v>1.7777777777777777</v>
      </c>
      <c r="F26" s="391">
        <f>3*A26*B26</f>
        <v>1728</v>
      </c>
    </row>
    <row r="27" spans="1:7">
      <c r="A27" s="757">
        <v>29</v>
      </c>
      <c r="B27" s="757">
        <v>12</v>
      </c>
      <c r="C27" s="391">
        <f>(A27+B27)^2</f>
        <v>1681</v>
      </c>
      <c r="D27" s="391">
        <f>A27^2+2*A27*B27+B27^2</f>
        <v>1681</v>
      </c>
      <c r="E27" s="758">
        <f>A27/B27</f>
        <v>2.4166666666666665</v>
      </c>
      <c r="F27" s="391">
        <f>3*A27*B27</f>
        <v>1044</v>
      </c>
    </row>
    <row r="28" spans="1:7" ht="16.5" thickBot="1">
      <c r="A28" s="145" t="s">
        <v>23</v>
      </c>
    </row>
    <row r="29" spans="1:7" ht="16.5" thickTop="1">
      <c r="A29" s="43" t="s">
        <v>10</v>
      </c>
      <c r="B29" s="44" t="s">
        <v>11</v>
      </c>
      <c r="C29" s="44" t="s">
        <v>12</v>
      </c>
      <c r="D29" s="44" t="s">
        <v>13</v>
      </c>
      <c r="E29" s="44" t="s">
        <v>14</v>
      </c>
      <c r="F29" s="416" t="s">
        <v>15</v>
      </c>
    </row>
    <row r="30" spans="1:7">
      <c r="A30" s="759">
        <v>47</v>
      </c>
      <c r="B30" s="757">
        <v>23</v>
      </c>
      <c r="C30" s="391" t="b">
        <f>A30&gt;B30</f>
        <v>1</v>
      </c>
      <c r="D30" s="391" t="b">
        <f>A30&lt;B30</f>
        <v>0</v>
      </c>
      <c r="E30" s="391" t="b">
        <f>A30&gt;=B30</f>
        <v>1</v>
      </c>
      <c r="F30" s="651" t="b">
        <f>A30&lt;=B30</f>
        <v>0</v>
      </c>
    </row>
    <row r="31" spans="1:7">
      <c r="A31" s="759">
        <v>58</v>
      </c>
      <c r="B31" s="757">
        <v>58</v>
      </c>
      <c r="C31" s="391" t="b">
        <f>A31&gt;B31</f>
        <v>0</v>
      </c>
      <c r="D31" s="391" t="b">
        <f>A31&lt;B31</f>
        <v>0</v>
      </c>
      <c r="E31" s="391" t="b">
        <f>A31&gt;=B31</f>
        <v>1</v>
      </c>
      <c r="F31" s="651" t="b">
        <f>A31&lt;=B31</f>
        <v>1</v>
      </c>
    </row>
    <row r="32" spans="1:7">
      <c r="A32" s="759">
        <v>12</v>
      </c>
      <c r="B32" s="757">
        <v>49</v>
      </c>
      <c r="C32" s="391" t="b">
        <f>A32&gt;B32</f>
        <v>0</v>
      </c>
      <c r="D32" s="391" t="b">
        <f>A32&lt;B32</f>
        <v>1</v>
      </c>
      <c r="E32" s="391" t="b">
        <f>A32&gt;=B32</f>
        <v>0</v>
      </c>
      <c r="F32" s="651" t="b">
        <f>A32&lt;=B32</f>
        <v>1</v>
      </c>
    </row>
    <row r="33" spans="1:8" ht="16.5" thickBot="1">
      <c r="A33" s="760">
        <v>35</v>
      </c>
      <c r="B33" s="761">
        <v>75</v>
      </c>
      <c r="C33" s="391" t="b">
        <f>A33&gt;B33</f>
        <v>0</v>
      </c>
      <c r="D33" s="391" t="b">
        <f>A33&lt;B33</f>
        <v>1</v>
      </c>
      <c r="E33" s="391" t="b">
        <f>A33&gt;=B33</f>
        <v>0</v>
      </c>
      <c r="F33" s="651" t="b">
        <f>A33&lt;=B33</f>
        <v>1</v>
      </c>
    </row>
    <row r="34" spans="1:8" ht="17.25" thickTop="1" thickBot="1">
      <c r="A34" s="145" t="s">
        <v>24</v>
      </c>
    </row>
    <row r="35" spans="1:8" ht="16.5" thickTop="1">
      <c r="A35" s="43" t="s">
        <v>1347</v>
      </c>
      <c r="B35" s="44" t="s">
        <v>6</v>
      </c>
      <c r="C35" s="44" t="s">
        <v>16</v>
      </c>
      <c r="D35" s="44" t="s">
        <v>17</v>
      </c>
      <c r="E35" s="44" t="s">
        <v>18</v>
      </c>
      <c r="F35" s="44" t="s">
        <v>19</v>
      </c>
      <c r="G35" s="44" t="s">
        <v>20</v>
      </c>
      <c r="H35" s="416" t="s">
        <v>21</v>
      </c>
    </row>
    <row r="36" spans="1:8">
      <c r="A36" s="759">
        <v>7</v>
      </c>
      <c r="B36" s="757">
        <v>2</v>
      </c>
      <c r="C36" s="391">
        <f>MOD(A36,B36)</f>
        <v>1</v>
      </c>
      <c r="D36" s="391">
        <f>INT(A36/B36)</f>
        <v>3</v>
      </c>
      <c r="E36" s="391">
        <f>SQRT(A36+B36)</f>
        <v>3</v>
      </c>
      <c r="F36" s="391">
        <f>ROUND(A36/B36,2)</f>
        <v>3.5</v>
      </c>
      <c r="G36" s="391">
        <f>POWER(A36,4)</f>
        <v>2401</v>
      </c>
      <c r="H36" s="651">
        <f>PRODUCT(A36,B36)</f>
        <v>14</v>
      </c>
    </row>
    <row r="37" spans="1:8">
      <c r="A37" s="759">
        <v>13</v>
      </c>
      <c r="B37" s="757">
        <v>-4</v>
      </c>
      <c r="C37" s="391">
        <f>MOD(A37,B37)</f>
        <v>-3</v>
      </c>
      <c r="D37" s="391">
        <f>INT(A37/B37)</f>
        <v>-4</v>
      </c>
      <c r="E37" s="391">
        <f>SQRT(A37+B37)</f>
        <v>3</v>
      </c>
      <c r="F37" s="391">
        <f>ROUND(A37/B37,2)</f>
        <v>-3.25</v>
      </c>
      <c r="G37" s="391">
        <f>POWER(A37,4)</f>
        <v>28561</v>
      </c>
      <c r="H37" s="651">
        <f>PRODUCT(A37,B37)</f>
        <v>-52</v>
      </c>
    </row>
    <row r="38" spans="1:8">
      <c r="A38" s="759">
        <v>15</v>
      </c>
      <c r="B38" s="757">
        <v>66</v>
      </c>
      <c r="C38" s="391">
        <f>MOD(A38,B38)</f>
        <v>15</v>
      </c>
      <c r="D38" s="391">
        <f>INT(A38/B38)</f>
        <v>0</v>
      </c>
      <c r="E38" s="391">
        <f>SQRT(A38+B38)</f>
        <v>9</v>
      </c>
      <c r="F38" s="391">
        <f>ROUND(A38/B38,2)</f>
        <v>0.23</v>
      </c>
      <c r="G38" s="391">
        <f>POWER(A38,4)</f>
        <v>50625</v>
      </c>
      <c r="H38" s="651">
        <f>PRODUCT(A38,B38)</f>
        <v>990</v>
      </c>
    </row>
    <row r="39" spans="1:8" ht="16.5" thickBot="1">
      <c r="A39" s="760">
        <v>8</v>
      </c>
      <c r="B39" s="761">
        <v>8</v>
      </c>
      <c r="C39" s="391">
        <f>MOD(A39,B39)</f>
        <v>0</v>
      </c>
      <c r="D39" s="391">
        <f>INT(A39/B39)</f>
        <v>1</v>
      </c>
      <c r="E39" s="391">
        <f>SQRT(A39+B39)</f>
        <v>4</v>
      </c>
      <c r="F39" s="391">
        <f>ROUND(A39/B39,2)</f>
        <v>1</v>
      </c>
      <c r="G39" s="391">
        <f>POWER(A39,4)</f>
        <v>4096</v>
      </c>
      <c r="H39" s="651">
        <f>PRODUCT(A39,B39)</f>
        <v>64</v>
      </c>
    </row>
    <row r="40" spans="1:8" ht="17.25" thickTop="1" thickBot="1">
      <c r="A40" s="145" t="s">
        <v>25</v>
      </c>
    </row>
    <row r="41" spans="1:8" ht="16.5" thickTop="1">
      <c r="A41" s="43" t="s">
        <v>10</v>
      </c>
      <c r="B41" s="44" t="s">
        <v>11</v>
      </c>
      <c r="C41" s="44" t="s">
        <v>26</v>
      </c>
      <c r="D41" s="44" t="s">
        <v>27</v>
      </c>
      <c r="E41" s="44" t="s">
        <v>28</v>
      </c>
      <c r="F41" s="44" t="s">
        <v>29</v>
      </c>
      <c r="G41" s="44" t="s">
        <v>30</v>
      </c>
      <c r="H41" s="416" t="s">
        <v>31</v>
      </c>
    </row>
    <row r="42" spans="1:8">
      <c r="A42" s="759">
        <v>4</v>
      </c>
      <c r="B42" s="757">
        <v>5</v>
      </c>
      <c r="C42" s="757">
        <v>14</v>
      </c>
      <c r="D42" s="391" t="b">
        <f t="shared" ref="D42:E45" si="4">A42&gt;B42</f>
        <v>0</v>
      </c>
      <c r="E42" s="391" t="b">
        <f t="shared" si="4"/>
        <v>0</v>
      </c>
      <c r="F42" s="391" t="b">
        <f>AND(D42,E42)</f>
        <v>0</v>
      </c>
      <c r="G42" s="391" t="b">
        <f>OR(D42,E42)</f>
        <v>0</v>
      </c>
      <c r="H42" s="651" t="b">
        <f>AND(D42,OR(D42,E42))</f>
        <v>0</v>
      </c>
    </row>
    <row r="43" spans="1:8">
      <c r="A43" s="759">
        <v>2</v>
      </c>
      <c r="B43" s="757">
        <v>12</v>
      </c>
      <c r="C43" s="757">
        <v>32</v>
      </c>
      <c r="D43" s="391" t="b">
        <f t="shared" si="4"/>
        <v>0</v>
      </c>
      <c r="E43" s="391" t="b">
        <f t="shared" si="4"/>
        <v>0</v>
      </c>
      <c r="F43" s="391" t="b">
        <f>AND(D43,E43)</f>
        <v>0</v>
      </c>
      <c r="G43" s="391" t="b">
        <f>OR(D43,E43)</f>
        <v>0</v>
      </c>
      <c r="H43" s="651" t="b">
        <f>AND(D43,OR(D43,E43))</f>
        <v>0</v>
      </c>
    </row>
    <row r="44" spans="1:8">
      <c r="A44" s="759">
        <v>24</v>
      </c>
      <c r="B44" s="757">
        <v>14</v>
      </c>
      <c r="C44" s="757">
        <v>16</v>
      </c>
      <c r="D44" s="391" t="b">
        <f t="shared" si="4"/>
        <v>1</v>
      </c>
      <c r="E44" s="391" t="b">
        <f t="shared" si="4"/>
        <v>0</v>
      </c>
      <c r="F44" s="391" t="b">
        <f>AND(D44,E44)</f>
        <v>0</v>
      </c>
      <c r="G44" s="391" t="b">
        <f>OR(D44,E44)</f>
        <v>1</v>
      </c>
      <c r="H44" s="651" t="b">
        <f>AND(D44,OR(D44,E44))</f>
        <v>1</v>
      </c>
    </row>
    <row r="45" spans="1:8" ht="16.5" thickBot="1">
      <c r="A45" s="760">
        <v>24</v>
      </c>
      <c r="B45" s="761">
        <v>24</v>
      </c>
      <c r="C45" s="761">
        <v>16</v>
      </c>
      <c r="D45" s="391" t="b">
        <f t="shared" si="4"/>
        <v>0</v>
      </c>
      <c r="E45" s="391" t="b">
        <f t="shared" si="4"/>
        <v>1</v>
      </c>
      <c r="F45" s="391" t="b">
        <f>AND(D45,E45)</f>
        <v>0</v>
      </c>
      <c r="G45" s="391" t="b">
        <f>OR(D45,E45)</f>
        <v>1</v>
      </c>
      <c r="H45" s="651" t="b">
        <f>AND(D45,OR(D45,E45))</f>
        <v>0</v>
      </c>
    </row>
    <row r="46" spans="1:8" ht="16.5" thickTop="1"/>
  </sheetData>
  <mergeCells count="20">
    <mergeCell ref="A10:B10"/>
    <mergeCell ref="G7:G10"/>
    <mergeCell ref="C9:C10"/>
    <mergeCell ref="D7:D8"/>
    <mergeCell ref="E6:E7"/>
    <mergeCell ref="F9:F10"/>
    <mergeCell ref="A6:B6"/>
    <mergeCell ref="A7:B7"/>
    <mergeCell ref="A8:B8"/>
    <mergeCell ref="A9:B9"/>
    <mergeCell ref="A12:D12"/>
    <mergeCell ref="E12:G12"/>
    <mergeCell ref="A3:H3"/>
    <mergeCell ref="H7:H9"/>
    <mergeCell ref="C4:C5"/>
    <mergeCell ref="D4:D5"/>
    <mergeCell ref="E4:E5"/>
    <mergeCell ref="F4:F5"/>
    <mergeCell ref="G4:G5"/>
    <mergeCell ref="H4:H5"/>
  </mergeCells>
  <phoneticPr fontId="2" type="noConversion"/>
  <pageMargins left="0.5" right="0" top="0.25" bottom="0.25" header="0.25" footer="0.2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245B-CF29-4EC2-A48A-9D6462576C0B}">
  <dimension ref="A1:M24"/>
  <sheetViews>
    <sheetView workbookViewId="0">
      <selection activeCell="I11" sqref="I11"/>
    </sheetView>
  </sheetViews>
  <sheetFormatPr defaultRowHeight="15.75"/>
  <cols>
    <col min="1" max="1" width="6" style="20" customWidth="1"/>
    <col min="2" max="2" width="9.140625" style="20"/>
    <col min="3" max="3" width="10.28515625" style="20" customWidth="1"/>
    <col min="4" max="4" width="18.28515625" style="20" customWidth="1"/>
    <col min="5" max="5" width="16" style="20" bestFit="1" customWidth="1"/>
    <col min="6" max="6" width="12.7109375" style="20" bestFit="1" customWidth="1"/>
    <col min="7" max="7" width="11.5703125" style="20" customWidth="1"/>
    <col min="8" max="8" width="16" style="20" bestFit="1" customWidth="1"/>
    <col min="9" max="16384" width="9.140625" style="20"/>
  </cols>
  <sheetData>
    <row r="1" spans="1:13">
      <c r="A1" s="948" t="s">
        <v>961</v>
      </c>
      <c r="B1" s="948"/>
      <c r="C1" s="948"/>
      <c r="D1" s="948"/>
      <c r="E1" s="948"/>
      <c r="F1" s="948"/>
      <c r="G1" s="948"/>
      <c r="H1" s="948"/>
      <c r="I1" s="886"/>
      <c r="J1" s="145"/>
    </row>
    <row r="2" spans="1:13">
      <c r="A2" s="417"/>
      <c r="B2" s="418"/>
      <c r="C2" s="418"/>
      <c r="D2" s="418"/>
      <c r="E2" s="418"/>
      <c r="F2" s="418"/>
      <c r="G2" s="418"/>
      <c r="H2" s="418"/>
      <c r="I2" s="419"/>
      <c r="J2" s="419"/>
      <c r="K2" s="419"/>
      <c r="L2" s="419"/>
      <c r="M2" s="419"/>
    </row>
    <row r="3" spans="1:13">
      <c r="A3" s="20" t="s">
        <v>979</v>
      </c>
    </row>
    <row r="4" spans="1:13">
      <c r="A4" s="944" t="s">
        <v>987</v>
      </c>
      <c r="B4" s="944"/>
      <c r="C4" s="944"/>
      <c r="D4" s="944"/>
      <c r="E4" s="944"/>
      <c r="F4" s="944"/>
      <c r="G4" s="944"/>
      <c r="H4" s="944"/>
    </row>
    <row r="5" spans="1:13" ht="16.5" thickBot="1">
      <c r="D5" s="420" t="s">
        <v>32</v>
      </c>
      <c r="E5" s="421">
        <f ca="1">DAY(TODAY())</f>
        <v>13</v>
      </c>
    </row>
    <row r="6" spans="1:13" ht="48" thickTop="1">
      <c r="A6" s="422" t="s">
        <v>963</v>
      </c>
      <c r="B6" s="423" t="s">
        <v>964</v>
      </c>
      <c r="C6" s="423" t="s">
        <v>965</v>
      </c>
      <c r="D6" s="423" t="s">
        <v>966</v>
      </c>
      <c r="E6" s="423" t="s">
        <v>967</v>
      </c>
      <c r="F6" s="423" t="s">
        <v>968</v>
      </c>
      <c r="G6" s="423" t="s">
        <v>969</v>
      </c>
      <c r="H6" s="424" t="s">
        <v>970</v>
      </c>
    </row>
    <row r="7" spans="1:13">
      <c r="A7" s="425">
        <v>1</v>
      </c>
      <c r="B7" s="76" t="s">
        <v>971</v>
      </c>
      <c r="C7" s="426">
        <v>100</v>
      </c>
      <c r="D7" s="427">
        <v>4000000</v>
      </c>
      <c r="E7" s="428">
        <f>C7*D7</f>
        <v>400000000</v>
      </c>
      <c r="F7" s="428">
        <f>E7*5%</f>
        <v>20000000</v>
      </c>
      <c r="G7" s="428">
        <f>C7*1500</f>
        <v>150000</v>
      </c>
      <c r="H7" s="429">
        <f>E7+F7+G7</f>
        <v>420150000</v>
      </c>
    </row>
    <row r="8" spans="1:13">
      <c r="A8" s="425">
        <v>2</v>
      </c>
      <c r="B8" s="76" t="s">
        <v>972</v>
      </c>
      <c r="C8" s="426">
        <v>50</v>
      </c>
      <c r="D8" s="427">
        <v>150000</v>
      </c>
      <c r="E8" s="428">
        <f t="shared" ref="E8:E13" si="0">C8*D8</f>
        <v>7500000</v>
      </c>
      <c r="F8" s="428">
        <f t="shared" ref="F8:F13" si="1">E8*5%</f>
        <v>375000</v>
      </c>
      <c r="G8" s="428">
        <f t="shared" ref="G8:G13" si="2">C8*1500</f>
        <v>75000</v>
      </c>
      <c r="H8" s="429">
        <f t="shared" ref="H8:H13" si="3">E8+F8+G8</f>
        <v>7950000</v>
      </c>
    </row>
    <row r="9" spans="1:13">
      <c r="A9" s="425">
        <v>3</v>
      </c>
      <c r="B9" s="76" t="s">
        <v>973</v>
      </c>
      <c r="C9" s="426">
        <v>58</v>
      </c>
      <c r="D9" s="427">
        <v>1200000</v>
      </c>
      <c r="E9" s="428">
        <f t="shared" si="0"/>
        <v>69600000</v>
      </c>
      <c r="F9" s="428">
        <f t="shared" si="1"/>
        <v>3480000</v>
      </c>
      <c r="G9" s="428">
        <f t="shared" si="2"/>
        <v>87000</v>
      </c>
      <c r="H9" s="429">
        <f t="shared" si="3"/>
        <v>73167000</v>
      </c>
    </row>
    <row r="10" spans="1:13">
      <c r="A10" s="425">
        <v>4</v>
      </c>
      <c r="B10" s="76" t="s">
        <v>974</v>
      </c>
      <c r="C10" s="426">
        <v>79</v>
      </c>
      <c r="D10" s="427">
        <v>850000</v>
      </c>
      <c r="E10" s="428">
        <f t="shared" si="0"/>
        <v>67150000</v>
      </c>
      <c r="F10" s="428">
        <f t="shared" si="1"/>
        <v>3357500</v>
      </c>
      <c r="G10" s="428">
        <f t="shared" si="2"/>
        <v>118500</v>
      </c>
      <c r="H10" s="429">
        <f t="shared" si="3"/>
        <v>70626000</v>
      </c>
    </row>
    <row r="11" spans="1:13">
      <c r="A11" s="425">
        <v>5</v>
      </c>
      <c r="B11" s="76" t="s">
        <v>975</v>
      </c>
      <c r="C11" s="426">
        <v>92</v>
      </c>
      <c r="D11" s="427">
        <v>200000</v>
      </c>
      <c r="E11" s="428">
        <f t="shared" si="0"/>
        <v>18400000</v>
      </c>
      <c r="F11" s="428">
        <f t="shared" si="1"/>
        <v>920000</v>
      </c>
      <c r="G11" s="428">
        <f t="shared" si="2"/>
        <v>138000</v>
      </c>
      <c r="H11" s="429">
        <f t="shared" si="3"/>
        <v>19458000</v>
      </c>
    </row>
    <row r="12" spans="1:13">
      <c r="A12" s="425">
        <v>6</v>
      </c>
      <c r="B12" s="76" t="s">
        <v>976</v>
      </c>
      <c r="C12" s="426">
        <v>220</v>
      </c>
      <c r="D12" s="427">
        <v>2500000</v>
      </c>
      <c r="E12" s="428">
        <f t="shared" si="0"/>
        <v>550000000</v>
      </c>
      <c r="F12" s="428">
        <f t="shared" si="1"/>
        <v>27500000</v>
      </c>
      <c r="G12" s="428">
        <f t="shared" si="2"/>
        <v>330000</v>
      </c>
      <c r="H12" s="429">
        <f t="shared" si="3"/>
        <v>577830000</v>
      </c>
    </row>
    <row r="13" spans="1:13">
      <c r="A13" s="425">
        <v>7</v>
      </c>
      <c r="B13" s="76" t="s">
        <v>977</v>
      </c>
      <c r="C13" s="426">
        <v>199</v>
      </c>
      <c r="D13" s="427">
        <v>600000</v>
      </c>
      <c r="E13" s="428">
        <f t="shared" si="0"/>
        <v>119400000</v>
      </c>
      <c r="F13" s="428">
        <f t="shared" si="1"/>
        <v>5970000</v>
      </c>
      <c r="G13" s="428">
        <f t="shared" si="2"/>
        <v>298500</v>
      </c>
      <c r="H13" s="429">
        <f t="shared" si="3"/>
        <v>125668500</v>
      </c>
    </row>
    <row r="14" spans="1:13" ht="16.5" thickBot="1">
      <c r="A14" s="945" t="s">
        <v>978</v>
      </c>
      <c r="B14" s="946"/>
      <c r="C14" s="946"/>
      <c r="D14" s="947"/>
      <c r="E14" s="430">
        <f>SUM(E7:E13)</f>
        <v>1232050000</v>
      </c>
      <c r="F14" s="430">
        <f>SUM(F7:F13)</f>
        <v>61602500</v>
      </c>
      <c r="G14" s="430">
        <f>SUM(G7:G13)</f>
        <v>1197000</v>
      </c>
      <c r="H14" s="431">
        <f>SUM(H7:H13)</f>
        <v>1294849500</v>
      </c>
    </row>
    <row r="15" spans="1:13" ht="16.5" thickTop="1">
      <c r="A15" s="432" t="s">
        <v>980</v>
      </c>
      <c r="B15" s="433"/>
      <c r="C15" s="433"/>
      <c r="D15" s="433"/>
      <c r="E15" s="433"/>
      <c r="F15" s="433"/>
      <c r="G15" s="433"/>
      <c r="H15" s="433"/>
    </row>
    <row r="16" spans="1:13">
      <c r="A16" s="433" t="s">
        <v>981</v>
      </c>
      <c r="B16" s="433"/>
      <c r="C16" s="433"/>
      <c r="D16" s="433"/>
      <c r="E16" s="433"/>
      <c r="F16" s="433"/>
      <c r="G16" s="433"/>
      <c r="H16" s="433"/>
    </row>
    <row r="17" spans="1:8">
      <c r="A17" s="433" t="s">
        <v>982</v>
      </c>
      <c r="B17" s="433"/>
      <c r="C17" s="433"/>
      <c r="D17" s="433"/>
      <c r="E17" s="433"/>
      <c r="F17" s="433"/>
      <c r="G17" s="433"/>
      <c r="H17" s="433"/>
    </row>
    <row r="18" spans="1:8">
      <c r="A18" s="433" t="s">
        <v>983</v>
      </c>
      <c r="B18" s="433"/>
      <c r="C18" s="433"/>
      <c r="D18" s="433"/>
      <c r="E18" s="433"/>
      <c r="F18" s="433"/>
      <c r="G18" s="433"/>
      <c r="H18" s="433"/>
    </row>
    <row r="19" spans="1:8">
      <c r="A19" s="433" t="s">
        <v>984</v>
      </c>
      <c r="B19" s="433"/>
      <c r="C19" s="433"/>
      <c r="D19" s="433"/>
      <c r="E19" s="433"/>
      <c r="F19" s="433"/>
      <c r="G19" s="433"/>
      <c r="H19" s="433"/>
    </row>
    <row r="20" spans="1:8">
      <c r="A20" s="433" t="s">
        <v>985</v>
      </c>
      <c r="B20" s="433"/>
      <c r="C20" s="433"/>
      <c r="D20" s="433"/>
      <c r="E20" s="433"/>
      <c r="F20" s="433"/>
      <c r="G20" s="433"/>
      <c r="H20" s="433"/>
    </row>
    <row r="21" spans="1:8">
      <c r="A21" s="433" t="s">
        <v>986</v>
      </c>
      <c r="B21" s="433"/>
      <c r="C21" s="433"/>
      <c r="D21" s="433"/>
      <c r="E21" s="433"/>
      <c r="F21" s="433"/>
      <c r="G21" s="433"/>
      <c r="H21" s="433"/>
    </row>
    <row r="22" spans="1:8">
      <c r="A22" s="433" t="s">
        <v>34</v>
      </c>
      <c r="B22" s="433"/>
      <c r="C22" s="433"/>
      <c r="D22" s="433"/>
      <c r="E22" s="433"/>
      <c r="F22" s="433"/>
      <c r="G22" s="433"/>
      <c r="H22" s="433"/>
    </row>
    <row r="23" spans="1:8">
      <c r="A23" s="433" t="s">
        <v>35</v>
      </c>
      <c r="B23" s="433"/>
      <c r="C23" s="433"/>
      <c r="D23" s="433"/>
      <c r="E23" s="433"/>
      <c r="F23" s="433"/>
      <c r="G23" s="433"/>
      <c r="H23" s="433"/>
    </row>
    <row r="24" spans="1:8">
      <c r="A24" s="433" t="s">
        <v>837</v>
      </c>
      <c r="B24" s="433"/>
      <c r="C24" s="433"/>
      <c r="D24" s="433"/>
      <c r="E24" s="433"/>
      <c r="F24" s="433"/>
      <c r="G24" s="433"/>
      <c r="H24" s="433"/>
    </row>
  </sheetData>
  <mergeCells count="3">
    <mergeCell ref="A4:H4"/>
    <mergeCell ref="A14:D14"/>
    <mergeCell ref="A1:H1"/>
  </mergeCells>
  <phoneticPr fontId="2" type="noConversion"/>
  <pageMargins left="1.25" right="0.75" top="0.25" bottom="0.25" header="0.5" footer="0.5"/>
  <pageSetup paperSize="9" orientation="landscape" r:id="rId1"/>
  <headerFooter alignWithMargins="0">
    <oddHeader>&amp;RBiên soạn: Khoa Công nghệ Thông tin - Toán Ứng dụng, ĐH Bán công Tôn Đức Thắng</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2FEB5-AB96-4670-BAAE-8FC1A5D8C186}">
  <dimension ref="A1:U25"/>
  <sheetViews>
    <sheetView workbookViewId="0">
      <selection activeCell="M8" sqref="M8"/>
    </sheetView>
  </sheetViews>
  <sheetFormatPr defaultRowHeight="15.75"/>
  <cols>
    <col min="1" max="1" width="4" style="20" customWidth="1"/>
    <col min="2" max="2" width="13.140625" style="20" customWidth="1"/>
    <col min="3" max="3" width="7.42578125" style="20" customWidth="1"/>
    <col min="4" max="4" width="8" style="20" customWidth="1"/>
    <col min="5" max="5" width="9.85546875" style="20" customWidth="1"/>
    <col min="6" max="6" width="8.140625" style="20" customWidth="1"/>
    <col min="7" max="7" width="9.5703125" style="20" customWidth="1"/>
    <col min="8" max="8" width="9.85546875" style="20" customWidth="1"/>
    <col min="9" max="9" width="9.42578125" style="20" customWidth="1"/>
    <col min="10" max="10" width="10.42578125" style="20" customWidth="1"/>
    <col min="11" max="16384" width="9.140625" style="20"/>
  </cols>
  <sheetData>
    <row r="1" spans="1:13">
      <c r="A1" s="417" t="s">
        <v>988</v>
      </c>
      <c r="B1" s="418"/>
      <c r="C1" s="418"/>
      <c r="D1" s="418"/>
      <c r="E1" s="418"/>
      <c r="F1" s="418"/>
      <c r="G1" s="418"/>
      <c r="H1" s="698"/>
      <c r="I1" s="145"/>
      <c r="J1" s="418"/>
      <c r="K1" s="419"/>
      <c r="L1" s="419"/>
      <c r="M1" s="419"/>
    </row>
    <row r="2" spans="1:13">
      <c r="A2" s="20" t="s">
        <v>979</v>
      </c>
    </row>
    <row r="3" spans="1:13">
      <c r="A3" s="950" t="s">
        <v>470</v>
      </c>
      <c r="B3" s="950"/>
      <c r="C3" s="950"/>
      <c r="D3" s="950"/>
      <c r="E3" s="950"/>
      <c r="F3" s="950"/>
      <c r="G3" s="950"/>
      <c r="H3" s="950"/>
      <c r="I3" s="434" t="s">
        <v>962</v>
      </c>
      <c r="J3" s="435">
        <f ca="1">MONTH(TODAY())</f>
        <v>3</v>
      </c>
    </row>
    <row r="4" spans="1:13" ht="63">
      <c r="A4" s="436" t="s">
        <v>963</v>
      </c>
      <c r="B4" s="437" t="s">
        <v>989</v>
      </c>
      <c r="C4" s="438" t="s">
        <v>990</v>
      </c>
      <c r="D4" s="438" t="s">
        <v>991</v>
      </c>
      <c r="E4" s="438" t="s">
        <v>992</v>
      </c>
      <c r="F4" s="438" t="s">
        <v>993</v>
      </c>
      <c r="G4" s="438" t="s">
        <v>1026</v>
      </c>
      <c r="H4" s="438" t="s">
        <v>994</v>
      </c>
      <c r="I4" s="438" t="s">
        <v>1019</v>
      </c>
      <c r="J4" s="438" t="s">
        <v>995</v>
      </c>
    </row>
    <row r="5" spans="1:13">
      <c r="A5" s="439">
        <v>1</v>
      </c>
      <c r="B5" s="440" t="s">
        <v>996</v>
      </c>
      <c r="C5" s="441" t="s">
        <v>997</v>
      </c>
      <c r="D5" s="441" t="s">
        <v>1013</v>
      </c>
      <c r="E5" s="442">
        <v>1000</v>
      </c>
      <c r="F5" s="442">
        <v>24</v>
      </c>
      <c r="G5" s="443">
        <f>IF(D5="GĐ",500,IF(D5="PGĐ",400,IF(D5="TP",300,IF(D5="KT",250,100))))</f>
        <v>100</v>
      </c>
      <c r="H5" s="443">
        <f>E5*F5</f>
        <v>24000</v>
      </c>
      <c r="I5" s="443">
        <f>ROUND(IF((G5+H5)*2/3&lt;25000,(G5+H5)*2/3,25000),-3)</f>
        <v>16000</v>
      </c>
      <c r="J5" s="443">
        <f>G5+H5-I5</f>
        <v>8100</v>
      </c>
    </row>
    <row r="6" spans="1:13">
      <c r="A6" s="439">
        <v>2</v>
      </c>
      <c r="B6" s="440" t="s">
        <v>998</v>
      </c>
      <c r="C6" s="440" t="s">
        <v>999</v>
      </c>
      <c r="D6" s="440" t="s">
        <v>1014</v>
      </c>
      <c r="E6" s="444">
        <v>1000</v>
      </c>
      <c r="F6" s="444">
        <v>30</v>
      </c>
      <c r="G6" s="445">
        <f t="shared" ref="G6:G13" si="0">IF(D6="GĐ",500,IF(D6="PGĐ",400,IF(D6="TP",300,IF(D6="KT",250,100))))</f>
        <v>100</v>
      </c>
      <c r="H6" s="445">
        <f t="shared" ref="H6:H13" si="1">E6*F6</f>
        <v>30000</v>
      </c>
      <c r="I6" s="445">
        <f t="shared" ref="I6:I13" si="2">ROUND(IF((G6+H6)*2/3&lt;25000,(G6+H6)*2/3,25000),-3)</f>
        <v>20000</v>
      </c>
      <c r="J6" s="445">
        <f t="shared" ref="J6:J12" si="3">G6+H6-I6</f>
        <v>10100</v>
      </c>
    </row>
    <row r="7" spans="1:13">
      <c r="A7" s="439">
        <v>3</v>
      </c>
      <c r="B7" s="440" t="s">
        <v>1000</v>
      </c>
      <c r="C7" s="440" t="s">
        <v>1001</v>
      </c>
      <c r="D7" s="440" t="s">
        <v>1015</v>
      </c>
      <c r="E7" s="444">
        <v>3000</v>
      </c>
      <c r="F7" s="444">
        <v>25</v>
      </c>
      <c r="G7" s="445">
        <f t="shared" si="0"/>
        <v>300</v>
      </c>
      <c r="H7" s="445">
        <f t="shared" si="1"/>
        <v>75000</v>
      </c>
      <c r="I7" s="445">
        <f t="shared" si="2"/>
        <v>25000</v>
      </c>
      <c r="J7" s="445">
        <f t="shared" si="3"/>
        <v>50300</v>
      </c>
    </row>
    <row r="8" spans="1:13">
      <c r="A8" s="439">
        <v>4</v>
      </c>
      <c r="B8" s="440" t="s">
        <v>1002</v>
      </c>
      <c r="C8" s="440" t="s">
        <v>1003</v>
      </c>
      <c r="D8" s="440" t="s">
        <v>1016</v>
      </c>
      <c r="E8" s="444">
        <v>5000</v>
      </c>
      <c r="F8" s="444">
        <v>28</v>
      </c>
      <c r="G8" s="445">
        <f t="shared" si="0"/>
        <v>500</v>
      </c>
      <c r="H8" s="445">
        <f t="shared" si="1"/>
        <v>140000</v>
      </c>
      <c r="I8" s="445">
        <f t="shared" si="2"/>
        <v>25000</v>
      </c>
      <c r="J8" s="445">
        <f t="shared" si="3"/>
        <v>115500</v>
      </c>
    </row>
    <row r="9" spans="1:13">
      <c r="A9" s="439">
        <v>5</v>
      </c>
      <c r="B9" s="440" t="s">
        <v>1004</v>
      </c>
      <c r="C9" s="440" t="s">
        <v>1005</v>
      </c>
      <c r="D9" s="440" t="s">
        <v>1017</v>
      </c>
      <c r="E9" s="444">
        <v>4000</v>
      </c>
      <c r="F9" s="444">
        <v>26</v>
      </c>
      <c r="G9" s="445">
        <f t="shared" si="0"/>
        <v>400</v>
      </c>
      <c r="H9" s="445">
        <f t="shared" si="1"/>
        <v>104000</v>
      </c>
      <c r="I9" s="445">
        <f t="shared" si="2"/>
        <v>25000</v>
      </c>
      <c r="J9" s="445">
        <f t="shared" si="3"/>
        <v>79400</v>
      </c>
    </row>
    <row r="10" spans="1:13">
      <c r="A10" s="439">
        <v>6</v>
      </c>
      <c r="B10" s="440" t="s">
        <v>1006</v>
      </c>
      <c r="C10" s="440" t="s">
        <v>1007</v>
      </c>
      <c r="D10" s="440" t="s">
        <v>1015</v>
      </c>
      <c r="E10" s="444">
        <v>2000</v>
      </c>
      <c r="F10" s="444">
        <v>29</v>
      </c>
      <c r="G10" s="445">
        <f t="shared" si="0"/>
        <v>300</v>
      </c>
      <c r="H10" s="445">
        <f t="shared" si="1"/>
        <v>58000</v>
      </c>
      <c r="I10" s="445">
        <f t="shared" si="2"/>
        <v>25000</v>
      </c>
      <c r="J10" s="445">
        <f t="shared" si="3"/>
        <v>33300</v>
      </c>
    </row>
    <row r="11" spans="1:13">
      <c r="A11" s="439">
        <v>7</v>
      </c>
      <c r="B11" s="440" t="s">
        <v>1008</v>
      </c>
      <c r="C11" s="440" t="s">
        <v>1009</v>
      </c>
      <c r="D11" s="440" t="s">
        <v>1018</v>
      </c>
      <c r="E11" s="444">
        <v>1000</v>
      </c>
      <c r="F11" s="444">
        <v>30</v>
      </c>
      <c r="G11" s="445">
        <f t="shared" si="0"/>
        <v>250</v>
      </c>
      <c r="H11" s="445">
        <f t="shared" si="1"/>
        <v>30000</v>
      </c>
      <c r="I11" s="445">
        <f t="shared" si="2"/>
        <v>20000</v>
      </c>
      <c r="J11" s="445">
        <f t="shared" si="3"/>
        <v>10250</v>
      </c>
    </row>
    <row r="12" spans="1:13">
      <c r="A12" s="439">
        <v>8</v>
      </c>
      <c r="B12" s="440" t="s">
        <v>1002</v>
      </c>
      <c r="C12" s="446" t="s">
        <v>1010</v>
      </c>
      <c r="D12" s="444" t="s">
        <v>1015</v>
      </c>
      <c r="E12" s="444">
        <v>3000</v>
      </c>
      <c r="F12" s="444">
        <v>30</v>
      </c>
      <c r="G12" s="445">
        <f t="shared" si="0"/>
        <v>300</v>
      </c>
      <c r="H12" s="445">
        <f t="shared" si="1"/>
        <v>90000</v>
      </c>
      <c r="I12" s="445">
        <f t="shared" si="2"/>
        <v>25000</v>
      </c>
      <c r="J12" s="445">
        <f t="shared" si="3"/>
        <v>65300</v>
      </c>
    </row>
    <row r="13" spans="1:13">
      <c r="A13" s="439">
        <v>9</v>
      </c>
      <c r="B13" s="440" t="s">
        <v>1011</v>
      </c>
      <c r="C13" s="440" t="s">
        <v>1012</v>
      </c>
      <c r="D13" s="440" t="s">
        <v>1013</v>
      </c>
      <c r="E13" s="444">
        <v>1000</v>
      </c>
      <c r="F13" s="444">
        <v>26</v>
      </c>
      <c r="G13" s="445">
        <f t="shared" si="0"/>
        <v>100</v>
      </c>
      <c r="H13" s="445">
        <f t="shared" si="1"/>
        <v>26000</v>
      </c>
      <c r="I13" s="445">
        <f t="shared" si="2"/>
        <v>17000</v>
      </c>
      <c r="J13" s="445">
        <f>G13+H13-I13</f>
        <v>9100</v>
      </c>
    </row>
    <row r="14" spans="1:13">
      <c r="A14" s="447"/>
      <c r="D14" s="949" t="s">
        <v>978</v>
      </c>
      <c r="E14" s="949"/>
      <c r="F14" s="949"/>
      <c r="G14" s="448">
        <f>SUM(G5:G13)</f>
        <v>2350</v>
      </c>
      <c r="H14" s="448">
        <f>SUM(H5:H13)</f>
        <v>577000</v>
      </c>
      <c r="I14" s="448">
        <f>SUM(I5:I13)</f>
        <v>198000</v>
      </c>
      <c r="J14" s="448">
        <f>SUM(J5:J13)</f>
        <v>381350</v>
      </c>
      <c r="K14" s="449"/>
    </row>
    <row r="15" spans="1:13">
      <c r="A15" s="447"/>
      <c r="D15" s="949" t="s">
        <v>1020</v>
      </c>
      <c r="E15" s="949"/>
      <c r="F15" s="949"/>
      <c r="G15" s="448">
        <f>AVERAGE(G5:G13)</f>
        <v>261.11111111111109</v>
      </c>
      <c r="H15" s="448">
        <f>AVERAGE(H5:H13)</f>
        <v>64111.111111111109</v>
      </c>
      <c r="I15" s="448">
        <f>AVERAGE(I5:I13)</f>
        <v>22000</v>
      </c>
      <c r="J15" s="448">
        <f>AVERAGE(J5:J13)</f>
        <v>42372.222222222219</v>
      </c>
    </row>
    <row r="16" spans="1:13">
      <c r="A16" s="447"/>
      <c r="D16" s="949" t="s">
        <v>1021</v>
      </c>
      <c r="E16" s="949"/>
      <c r="F16" s="949"/>
      <c r="G16" s="448">
        <f>MAX(G5:G13)</f>
        <v>500</v>
      </c>
      <c r="H16" s="448">
        <f>MAX(H5:H13)</f>
        <v>140000</v>
      </c>
      <c r="I16" s="448">
        <f>MAX(I5:I13)</f>
        <v>25000</v>
      </c>
      <c r="J16" s="448">
        <f>MAX(J5:J13)</f>
        <v>115500</v>
      </c>
    </row>
    <row r="17" spans="1:21">
      <c r="A17" s="447"/>
      <c r="D17" s="949" t="s">
        <v>1022</v>
      </c>
      <c r="E17" s="949"/>
      <c r="F17" s="949"/>
      <c r="G17" s="448">
        <f>MIN(G5:G13)</f>
        <v>100</v>
      </c>
      <c r="H17" s="448">
        <f>MIN(H5:H13)</f>
        <v>24000</v>
      </c>
      <c r="I17" s="448">
        <f>MIN(I5:I13)</f>
        <v>16000</v>
      </c>
      <c r="J17" s="448">
        <f>MIN(J5:J13)</f>
        <v>8100</v>
      </c>
    </row>
    <row r="18" spans="1:21">
      <c r="A18" s="450" t="s">
        <v>980</v>
      </c>
      <c r="B18" s="451"/>
      <c r="C18" s="451"/>
      <c r="D18" s="451"/>
      <c r="E18" s="451"/>
      <c r="F18" s="451"/>
      <c r="G18" s="451"/>
      <c r="H18" s="451"/>
      <c r="I18" s="451"/>
      <c r="J18" s="452"/>
      <c r="K18" s="452"/>
      <c r="L18" s="452"/>
      <c r="M18" s="452"/>
      <c r="N18" s="452"/>
      <c r="O18" s="452"/>
      <c r="P18" s="452"/>
      <c r="Q18" s="452"/>
      <c r="R18" s="452"/>
      <c r="S18" s="452"/>
      <c r="T18" s="452"/>
      <c r="U18" s="452"/>
    </row>
    <row r="19" spans="1:21">
      <c r="A19" s="451" t="s">
        <v>981</v>
      </c>
      <c r="B19" s="451"/>
      <c r="C19" s="451"/>
      <c r="D19" s="451"/>
      <c r="E19" s="451"/>
      <c r="F19" s="451"/>
      <c r="G19" s="451"/>
      <c r="H19" s="451"/>
      <c r="I19" s="451"/>
      <c r="J19" s="452"/>
      <c r="K19" s="452"/>
      <c r="L19" s="452"/>
      <c r="M19" s="452"/>
      <c r="N19" s="452"/>
      <c r="O19" s="452"/>
      <c r="P19" s="452"/>
      <c r="Q19" s="452"/>
      <c r="R19" s="452"/>
      <c r="S19" s="452"/>
      <c r="T19" s="452"/>
      <c r="U19" s="452"/>
    </row>
    <row r="20" spans="1:21" ht="15.75" customHeight="1">
      <c r="A20" s="451" t="s">
        <v>1025</v>
      </c>
      <c r="B20" s="451"/>
      <c r="C20" s="451"/>
      <c r="D20" s="451"/>
      <c r="E20" s="451"/>
      <c r="F20" s="451"/>
      <c r="G20" s="451"/>
      <c r="H20" s="451"/>
      <c r="I20" s="451"/>
      <c r="J20" s="452"/>
      <c r="K20" s="452"/>
      <c r="L20" s="452"/>
      <c r="M20" s="452"/>
      <c r="N20" s="452"/>
      <c r="O20" s="452"/>
      <c r="P20" s="452"/>
      <c r="Q20" s="452"/>
      <c r="R20" s="452"/>
      <c r="S20" s="452"/>
      <c r="T20" s="452"/>
      <c r="U20" s="452"/>
    </row>
    <row r="21" spans="1:21">
      <c r="A21" s="451" t="s">
        <v>1023</v>
      </c>
      <c r="B21" s="451"/>
      <c r="C21" s="451"/>
      <c r="D21" s="451"/>
      <c r="E21" s="451"/>
      <c r="F21" s="451"/>
      <c r="G21" s="451"/>
      <c r="H21" s="451"/>
      <c r="I21" s="451"/>
      <c r="J21" s="452"/>
      <c r="K21" s="452"/>
      <c r="L21" s="452"/>
      <c r="M21" s="452"/>
      <c r="N21" s="452"/>
      <c r="O21" s="452"/>
      <c r="P21" s="452"/>
      <c r="Q21" s="452"/>
      <c r="R21" s="452"/>
      <c r="S21" s="452"/>
      <c r="T21" s="452"/>
      <c r="U21" s="452"/>
    </row>
    <row r="22" spans="1:21" ht="15.75" customHeight="1">
      <c r="A22" s="451" t="s">
        <v>1024</v>
      </c>
      <c r="B22" s="451"/>
      <c r="C22" s="451"/>
      <c r="D22" s="451"/>
      <c r="E22" s="451"/>
      <c r="F22" s="451"/>
      <c r="G22" s="451"/>
      <c r="H22" s="451"/>
      <c r="I22" s="451"/>
      <c r="J22" s="452"/>
      <c r="K22" s="452"/>
      <c r="L22" s="452"/>
      <c r="M22" s="452"/>
      <c r="N22" s="452"/>
      <c r="O22" s="452"/>
      <c r="P22" s="452"/>
      <c r="Q22" s="452"/>
      <c r="R22" s="452"/>
      <c r="S22" s="452"/>
      <c r="T22" s="452"/>
      <c r="U22" s="452"/>
    </row>
    <row r="23" spans="1:21">
      <c r="A23" s="451" t="s">
        <v>1071</v>
      </c>
      <c r="B23" s="451"/>
      <c r="C23" s="451"/>
      <c r="D23" s="451"/>
      <c r="E23" s="451"/>
      <c r="F23" s="451"/>
      <c r="G23" s="451"/>
      <c r="H23" s="451"/>
      <c r="I23" s="451"/>
      <c r="J23" s="452"/>
      <c r="K23" s="452"/>
      <c r="L23" s="452"/>
      <c r="M23" s="452"/>
      <c r="N23" s="452"/>
      <c r="O23" s="452"/>
      <c r="P23" s="452"/>
      <c r="Q23" s="452"/>
      <c r="R23" s="452"/>
      <c r="S23" s="452"/>
      <c r="T23" s="452"/>
      <c r="U23" s="452"/>
    </row>
    <row r="24" spans="1:21">
      <c r="A24" s="451" t="s">
        <v>1027</v>
      </c>
      <c r="B24" s="451"/>
      <c r="C24" s="451"/>
      <c r="D24" s="451"/>
      <c r="E24" s="451"/>
      <c r="F24" s="451"/>
      <c r="G24" s="451"/>
      <c r="H24" s="451"/>
      <c r="I24" s="451"/>
      <c r="J24" s="452"/>
      <c r="K24" s="452"/>
      <c r="L24" s="452"/>
      <c r="M24" s="452"/>
      <c r="N24" s="452"/>
      <c r="O24" s="452"/>
      <c r="P24" s="452"/>
      <c r="Q24" s="452"/>
      <c r="R24" s="452"/>
      <c r="S24" s="452"/>
      <c r="T24" s="452"/>
      <c r="U24" s="452"/>
    </row>
    <row r="25" spans="1:21">
      <c r="A25" s="451" t="s">
        <v>838</v>
      </c>
      <c r="B25" s="451"/>
      <c r="C25" s="451"/>
      <c r="D25" s="451"/>
      <c r="E25" s="451"/>
      <c r="F25" s="451"/>
      <c r="G25" s="451"/>
      <c r="H25" s="451"/>
      <c r="I25" s="451"/>
      <c r="J25" s="452"/>
      <c r="K25" s="452"/>
      <c r="L25" s="452"/>
      <c r="M25" s="452"/>
      <c r="N25" s="452"/>
      <c r="O25" s="452"/>
      <c r="P25" s="452"/>
      <c r="Q25" s="452"/>
      <c r="R25" s="452"/>
      <c r="S25" s="452"/>
      <c r="T25" s="452"/>
      <c r="U25" s="452"/>
    </row>
  </sheetData>
  <mergeCells count="5">
    <mergeCell ref="D17:F17"/>
    <mergeCell ref="A3:H3"/>
    <mergeCell ref="D14:F14"/>
    <mergeCell ref="D15:F15"/>
    <mergeCell ref="D16:F16"/>
  </mergeCells>
  <phoneticPr fontId="2" type="noConversion"/>
  <pageMargins left="0.75" right="0.75" top="0.5" bottom="0.5"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FB284-8738-4289-8230-71FC55E28E94}">
  <dimension ref="A1:Z21"/>
  <sheetViews>
    <sheetView workbookViewId="0">
      <selection activeCell="K9" sqref="K9"/>
    </sheetView>
  </sheetViews>
  <sheetFormatPr defaultRowHeight="15.75"/>
  <cols>
    <col min="1" max="1" width="8.7109375" style="104" customWidth="1"/>
    <col min="2" max="2" width="21" style="104" customWidth="1"/>
    <col min="3" max="3" width="10.28515625" style="104" customWidth="1"/>
    <col min="4" max="4" width="12.5703125" style="104" customWidth="1"/>
    <col min="5" max="5" width="23.5703125" style="104" customWidth="1"/>
    <col min="6" max="6" width="21.5703125" style="104" customWidth="1"/>
    <col min="7" max="7" width="11.5703125" style="104" customWidth="1"/>
    <col min="8" max="8" width="9.140625" style="104"/>
    <col min="9" max="9" width="6.7109375" style="104" customWidth="1"/>
    <col min="10" max="14" width="9.140625" style="104"/>
    <col min="15" max="15" width="5.28515625" style="104" customWidth="1"/>
    <col min="16" max="16384" width="9.140625" style="104"/>
  </cols>
  <sheetData>
    <row r="1" spans="1:16">
      <c r="A1" s="232" t="s">
        <v>1028</v>
      </c>
      <c r="B1" s="242"/>
      <c r="C1" s="242"/>
      <c r="D1" s="242"/>
      <c r="E1" s="886"/>
      <c r="F1" s="145"/>
      <c r="G1" s="234"/>
      <c r="H1" s="234"/>
      <c r="I1" s="234"/>
      <c r="J1" s="234"/>
      <c r="K1" s="234"/>
      <c r="L1" s="234"/>
      <c r="M1" s="234"/>
      <c r="N1" s="103"/>
      <c r="O1" s="103"/>
      <c r="P1" s="103"/>
    </row>
    <row r="2" spans="1:16">
      <c r="A2" s="104" t="s">
        <v>979</v>
      </c>
    </row>
    <row r="3" spans="1:16" ht="16.5" thickBot="1">
      <c r="A3" s="953" t="s">
        <v>987</v>
      </c>
      <c r="B3" s="953"/>
      <c r="C3" s="953"/>
      <c r="D3" s="953"/>
      <c r="E3" s="953"/>
      <c r="F3" s="953"/>
      <c r="G3" s="245"/>
      <c r="H3" s="245"/>
    </row>
    <row r="4" spans="1:16" ht="16.5" thickBot="1">
      <c r="D4" s="235"/>
      <c r="E4" s="127"/>
    </row>
    <row r="5" spans="1:16" ht="48" thickTop="1">
      <c r="A5" s="236" t="s">
        <v>1029</v>
      </c>
      <c r="B5" s="237" t="s">
        <v>1030</v>
      </c>
      <c r="C5" s="237" t="s">
        <v>1031</v>
      </c>
      <c r="D5" s="237" t="s">
        <v>1032</v>
      </c>
      <c r="E5" s="237" t="s">
        <v>1033</v>
      </c>
      <c r="F5" s="238" t="s">
        <v>1034</v>
      </c>
      <c r="G5" s="243"/>
      <c r="H5" s="243"/>
    </row>
    <row r="6" spans="1:16">
      <c r="A6" s="108" t="s">
        <v>1035</v>
      </c>
      <c r="B6" s="109" t="s">
        <v>1043</v>
      </c>
      <c r="C6" s="109">
        <v>12</v>
      </c>
      <c r="D6" s="109">
        <v>4000000</v>
      </c>
      <c r="E6" s="240">
        <f>D6*C6*((IF(C6&lt;5,0,IF(C6&lt;8,1%,IF(C6&lt;=10,2%,5%)))))</f>
        <v>2400000</v>
      </c>
      <c r="F6" s="241">
        <f>D6*C6-E6</f>
        <v>45600000</v>
      </c>
      <c r="G6" s="244"/>
      <c r="H6" s="244"/>
    </row>
    <row r="7" spans="1:16">
      <c r="A7" s="108" t="s">
        <v>1036</v>
      </c>
      <c r="B7" s="109" t="s">
        <v>1044</v>
      </c>
      <c r="C7" s="109">
        <v>4</v>
      </c>
      <c r="D7" s="109">
        <v>2500000</v>
      </c>
      <c r="E7" s="240">
        <f t="shared" ref="E7:E13" si="0">D7*C7*((IF(C7&lt;5,0,IF(C7&lt;8,1%,IF(C7&lt;=10,2%,5%)))))</f>
        <v>0</v>
      </c>
      <c r="F7" s="241">
        <f t="shared" ref="F7:F13" si="1">D7*C7-E7</f>
        <v>10000000</v>
      </c>
      <c r="G7" s="244"/>
      <c r="H7" s="244"/>
    </row>
    <row r="8" spans="1:16">
      <c r="A8" s="108" t="s">
        <v>1037</v>
      </c>
      <c r="B8" s="109" t="s">
        <v>1045</v>
      </c>
      <c r="C8" s="109">
        <v>5</v>
      </c>
      <c r="D8" s="109">
        <v>3000000</v>
      </c>
      <c r="E8" s="240">
        <f t="shared" si="0"/>
        <v>150000</v>
      </c>
      <c r="F8" s="241">
        <f t="shared" si="1"/>
        <v>14850000</v>
      </c>
      <c r="G8" s="244"/>
      <c r="H8" s="244"/>
    </row>
    <row r="9" spans="1:16">
      <c r="A9" s="108" t="s">
        <v>1038</v>
      </c>
      <c r="B9" s="109" t="s">
        <v>1046</v>
      </c>
      <c r="C9" s="109">
        <v>8</v>
      </c>
      <c r="D9" s="109">
        <v>1500000</v>
      </c>
      <c r="E9" s="240">
        <f t="shared" si="0"/>
        <v>240000</v>
      </c>
      <c r="F9" s="241">
        <f t="shared" si="1"/>
        <v>11760000</v>
      </c>
      <c r="G9" s="244"/>
      <c r="H9" s="244"/>
    </row>
    <row r="10" spans="1:16">
      <c r="A10" s="108" t="s">
        <v>1039</v>
      </c>
      <c r="B10" s="109" t="s">
        <v>1047</v>
      </c>
      <c r="C10" s="109">
        <v>9</v>
      </c>
      <c r="D10" s="109">
        <v>5000000</v>
      </c>
      <c r="E10" s="240">
        <f t="shared" si="0"/>
        <v>900000</v>
      </c>
      <c r="F10" s="241">
        <f t="shared" si="1"/>
        <v>44100000</v>
      </c>
      <c r="G10" s="244"/>
      <c r="H10" s="244"/>
    </row>
    <row r="11" spans="1:16">
      <c r="A11" s="108" t="s">
        <v>1040</v>
      </c>
      <c r="B11" s="109" t="s">
        <v>1048</v>
      </c>
      <c r="C11" s="109">
        <v>1</v>
      </c>
      <c r="D11" s="109">
        <v>4500000</v>
      </c>
      <c r="E11" s="240">
        <f t="shared" si="0"/>
        <v>0</v>
      </c>
      <c r="F11" s="241">
        <f t="shared" si="1"/>
        <v>4500000</v>
      </c>
      <c r="G11" s="244"/>
      <c r="H11" s="244"/>
    </row>
    <row r="12" spans="1:16">
      <c r="A12" s="108" t="s">
        <v>1041</v>
      </c>
      <c r="B12" s="109" t="s">
        <v>1049</v>
      </c>
      <c r="C12" s="109">
        <v>8</v>
      </c>
      <c r="D12" s="109">
        <v>5550000</v>
      </c>
      <c r="E12" s="240">
        <f t="shared" si="0"/>
        <v>888000</v>
      </c>
      <c r="F12" s="241">
        <f t="shared" si="1"/>
        <v>43512000</v>
      </c>
      <c r="G12" s="244"/>
      <c r="H12" s="244"/>
    </row>
    <row r="13" spans="1:16">
      <c r="A13" s="108" t="s">
        <v>1042</v>
      </c>
      <c r="B13" s="109" t="s">
        <v>1050</v>
      </c>
      <c r="C13" s="249">
        <v>12</v>
      </c>
      <c r="D13" s="249">
        <v>6000000</v>
      </c>
      <c r="E13" s="240">
        <f t="shared" si="0"/>
        <v>3600000</v>
      </c>
      <c r="F13" s="241">
        <f t="shared" si="1"/>
        <v>68400000</v>
      </c>
      <c r="G13" s="244"/>
      <c r="H13" s="244"/>
    </row>
    <row r="14" spans="1:16" ht="16.5" thickBot="1">
      <c r="A14" s="951" t="s">
        <v>978</v>
      </c>
      <c r="B14" s="952"/>
      <c r="C14" s="952"/>
      <c r="D14" s="952"/>
      <c r="E14" s="251">
        <f>SUM(E6:E13)</f>
        <v>8178000</v>
      </c>
      <c r="F14" s="250">
        <f>SUM(F6:F13)</f>
        <v>242722000</v>
      </c>
      <c r="H14" s="244"/>
    </row>
    <row r="15" spans="1:16" ht="16.5" thickTop="1">
      <c r="A15" s="246" t="s">
        <v>980</v>
      </c>
      <c r="B15" s="247"/>
      <c r="C15" s="247"/>
      <c r="D15" s="247"/>
      <c r="E15" s="247"/>
      <c r="F15" s="247"/>
      <c r="G15" s="247"/>
    </row>
    <row r="16" spans="1:16">
      <c r="A16" s="247" t="s">
        <v>1051</v>
      </c>
      <c r="B16" s="247"/>
      <c r="C16" s="247"/>
      <c r="D16" s="247"/>
      <c r="E16" s="247"/>
      <c r="F16" s="247"/>
      <c r="G16" s="247"/>
    </row>
    <row r="17" spans="1:26">
      <c r="A17" s="247" t="s">
        <v>1052</v>
      </c>
      <c r="B17" s="247"/>
      <c r="C17" s="247"/>
      <c r="D17" s="247"/>
      <c r="E17" s="247"/>
      <c r="F17" s="247"/>
      <c r="G17" s="247"/>
      <c r="H17" s="248"/>
      <c r="I17" s="248"/>
      <c r="J17" s="248"/>
      <c r="K17" s="248"/>
      <c r="L17" s="248"/>
      <c r="M17" s="248"/>
      <c r="N17" s="248"/>
      <c r="O17" s="248"/>
      <c r="P17" s="248"/>
      <c r="Q17" s="248"/>
      <c r="R17" s="248"/>
      <c r="S17" s="248"/>
      <c r="T17" s="248"/>
      <c r="U17" s="248"/>
      <c r="V17" s="248"/>
      <c r="W17" s="248"/>
      <c r="X17" s="248"/>
      <c r="Y17" s="248"/>
      <c r="Z17" s="248"/>
    </row>
    <row r="18" spans="1:26">
      <c r="A18" s="247" t="s">
        <v>1053</v>
      </c>
      <c r="B18" s="247"/>
      <c r="C18" s="247"/>
      <c r="D18" s="247"/>
      <c r="E18" s="247"/>
      <c r="F18" s="247"/>
      <c r="G18" s="247"/>
    </row>
    <row r="19" spans="1:26">
      <c r="A19" s="247" t="s">
        <v>1054</v>
      </c>
      <c r="B19" s="247"/>
      <c r="C19" s="247"/>
      <c r="D19" s="247"/>
      <c r="E19" s="247"/>
      <c r="F19" s="247"/>
      <c r="G19" s="247"/>
    </row>
    <row r="20" spans="1:26">
      <c r="A20" s="247" t="s">
        <v>1055</v>
      </c>
      <c r="B20" s="247"/>
      <c r="C20" s="247"/>
      <c r="D20" s="247"/>
      <c r="E20" s="247"/>
      <c r="F20" s="247"/>
      <c r="G20" s="247"/>
    </row>
    <row r="21" spans="1:26">
      <c r="A21" s="247" t="s">
        <v>471</v>
      </c>
      <c r="B21" s="247"/>
      <c r="C21" s="247"/>
      <c r="D21" s="247"/>
      <c r="E21" s="247"/>
      <c r="F21" s="247"/>
      <c r="G21" s="247"/>
    </row>
  </sheetData>
  <mergeCells count="2">
    <mergeCell ref="A14:D14"/>
    <mergeCell ref="A3:F3"/>
  </mergeCells>
  <phoneticPr fontId="2" type="noConversion"/>
  <pageMargins left="1" right="0.75" top="0.5"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5498-A60D-4A55-8254-27E81F5709C1}">
  <dimension ref="A1:P15"/>
  <sheetViews>
    <sheetView workbookViewId="0">
      <selection activeCell="I12" sqref="I12"/>
    </sheetView>
  </sheetViews>
  <sheetFormatPr defaultRowHeight="15.75"/>
  <cols>
    <col min="1" max="1" width="9.85546875" style="104" customWidth="1"/>
    <col min="2" max="2" width="9.42578125" style="104" customWidth="1"/>
    <col min="3" max="3" width="10.28515625" style="104" customWidth="1"/>
    <col min="4" max="4" width="9.85546875" style="104" bestFit="1" customWidth="1"/>
    <col min="5" max="5" width="13.28515625" style="104" customWidth="1"/>
    <col min="6" max="6" width="12.85546875" style="104" customWidth="1"/>
    <col min="7" max="7" width="11.5703125" style="104" customWidth="1"/>
    <col min="8" max="8" width="14.42578125" style="104" customWidth="1"/>
    <col min="9" max="16384" width="9.140625" style="104"/>
  </cols>
  <sheetData>
    <row r="1" spans="1:16">
      <c r="A1" s="232" t="s">
        <v>1056</v>
      </c>
      <c r="B1" s="233"/>
      <c r="C1" s="233"/>
      <c r="D1" s="233"/>
      <c r="E1" s="233"/>
      <c r="F1" s="886"/>
      <c r="G1" s="145"/>
      <c r="H1" s="234"/>
      <c r="I1" s="234"/>
      <c r="J1" s="234"/>
      <c r="K1" s="234"/>
      <c r="L1" s="234"/>
      <c r="M1" s="234"/>
      <c r="N1" s="103"/>
      <c r="O1" s="103"/>
      <c r="P1" s="103"/>
    </row>
    <row r="2" spans="1:16">
      <c r="A2" s="104" t="s">
        <v>979</v>
      </c>
    </row>
    <row r="3" spans="1:16">
      <c r="A3" s="944" t="s">
        <v>1057</v>
      </c>
      <c r="B3" s="944"/>
      <c r="C3" s="944"/>
      <c r="D3" s="944"/>
      <c r="E3" s="944"/>
      <c r="F3" s="944"/>
      <c r="G3" s="245"/>
      <c r="H3" s="245"/>
    </row>
    <row r="4" spans="1:16" ht="31.5">
      <c r="A4" s="252" t="s">
        <v>1029</v>
      </c>
      <c r="B4" s="252" t="s">
        <v>1058</v>
      </c>
      <c r="C4" s="252" t="s">
        <v>1059</v>
      </c>
      <c r="D4" s="252" t="s">
        <v>1032</v>
      </c>
      <c r="E4" s="252" t="s">
        <v>1060</v>
      </c>
      <c r="F4" s="252" t="s">
        <v>1061</v>
      </c>
      <c r="G4" s="243"/>
      <c r="H4" s="243"/>
    </row>
    <row r="5" spans="1:16">
      <c r="A5" s="109" t="s">
        <v>1062</v>
      </c>
      <c r="B5" s="109">
        <v>1000</v>
      </c>
      <c r="C5" s="572">
        <f>IF(LEFT(A5,1)="A",60%*B5,IF(LEFT(A5,1)="B",70%*B5))</f>
        <v>600</v>
      </c>
      <c r="D5" s="572">
        <f>IF(RIGHT(A5,1)="Y",110000,IF(RIGHT(A5,1)="N",135000))</f>
        <v>110000</v>
      </c>
      <c r="E5" s="572">
        <f>C5*D5</f>
        <v>66000000</v>
      </c>
      <c r="F5" s="573">
        <f>IF(AND(LEFT(A5,1)="A",RIGHT(A5,1)="Y"),8%*E5,IF(AND(LEFT(A5,1)="A",RIGHT(A5,1)="N"),11%*E5,IF(AND(LEFT(A5,1)="B",RIGHT(A5,1)="Y"),17%*E5,E5*22%)))</f>
        <v>5280000</v>
      </c>
      <c r="G5" s="244"/>
    </row>
    <row r="6" spans="1:16">
      <c r="A6" s="109" t="s">
        <v>1063</v>
      </c>
      <c r="B6" s="109">
        <v>2500</v>
      </c>
      <c r="C6" s="572">
        <f>IF(LEFT(A6,1)="A",60%*B6,IF(LEFT(A6,1)="B",70%*B6))</f>
        <v>1750</v>
      </c>
      <c r="D6" s="572">
        <f>IF(RIGHT(A6,1)="Y",110000,IF(RIGHT(A6,1)="N",135000))</f>
        <v>135000</v>
      </c>
      <c r="E6" s="572">
        <f>C6*D6</f>
        <v>236250000</v>
      </c>
      <c r="F6" s="573">
        <f>IF(AND(LEFT(A6,1)="A",RIGHT(A6,1)="Y"),8%*E6,IF(AND(LEFT(A6,1)="A",RIGHT(A6,1)="N"),11%*E6,IF(AND(LEFT(A6,1)="B",RIGHT(A6,1)="Y"),17%*E6,E6*22%)))</f>
        <v>51975000</v>
      </c>
      <c r="G6" s="244"/>
      <c r="H6" s="244"/>
    </row>
    <row r="7" spans="1:16">
      <c r="A7" s="109" t="s">
        <v>1064</v>
      </c>
      <c r="B7" s="109">
        <v>4582</v>
      </c>
      <c r="C7" s="572">
        <f>IF(LEFT(A7,1)="A",60%*B7,IF(LEFT(A7,1)="B",70%*B7))</f>
        <v>3207.3999999999996</v>
      </c>
      <c r="D7" s="572">
        <f>IF(RIGHT(A7,1)="Y",110000,IF(RIGHT(A7,1)="N",135000))</f>
        <v>110000</v>
      </c>
      <c r="E7" s="572">
        <f>C7*D7</f>
        <v>352813999.99999994</v>
      </c>
      <c r="F7" s="573">
        <f>IF(AND(LEFT(A7,1)="A",RIGHT(A7,1)="Y"),8%*E7,IF(AND(LEFT(A7,1)="A",RIGHT(A7,1)="N"),11%*E7,IF(AND(LEFT(A7,1)="B",RIGHT(A7,1)="Y"),17%*E7,E7*22%)))</f>
        <v>59978379.999999993</v>
      </c>
      <c r="G7" s="244"/>
      <c r="H7" s="244"/>
    </row>
    <row r="8" spans="1:16">
      <c r="A8" s="109" t="s">
        <v>1065</v>
      </c>
      <c r="B8" s="109">
        <v>1400</v>
      </c>
      <c r="C8" s="572">
        <f>IF(LEFT(A8,1)="A",60%*B8,IF(LEFT(A8,1)="B",70%*B8))</f>
        <v>840</v>
      </c>
      <c r="D8" s="572">
        <f>IF(RIGHT(A8,1)="Y",110000,IF(RIGHT(A8,1)="N",135000))</f>
        <v>135000</v>
      </c>
      <c r="E8" s="572">
        <f>C8*D8</f>
        <v>113400000</v>
      </c>
      <c r="F8" s="573">
        <f>IF(AND(LEFT(A8,1)="A",RIGHT(A8,1)="Y"),8%*E8,IF(AND(LEFT(A8,1)="A",RIGHT(A8,1)="N"),11%*E8,IF(AND(LEFT(A8,1)="B",RIGHT(A8,1)="Y"),17%*E8,E8*22%)))</f>
        <v>12474000</v>
      </c>
      <c r="G8" s="244"/>
      <c r="H8" s="244"/>
    </row>
    <row r="9" spans="1:16">
      <c r="A9" s="109" t="s">
        <v>1066</v>
      </c>
      <c r="B9" s="109">
        <v>1650</v>
      </c>
      <c r="C9" s="572">
        <f>IF(LEFT(A9,1)="A",60%*B9,IF(LEFT(A9,1)="B",70%*B9))</f>
        <v>1155</v>
      </c>
      <c r="D9" s="572">
        <f>IF(RIGHT(A9,1)="Y",110000,IF(RIGHT(A9,1)="N",135000))</f>
        <v>110000</v>
      </c>
      <c r="E9" s="572">
        <f>C9*D9</f>
        <v>127050000</v>
      </c>
      <c r="F9" s="573">
        <f>IF(AND(LEFT(A9,1)="A",RIGHT(A9,1)="Y"),8%*E9,IF(AND(LEFT(A9,1)="A",RIGHT(A9,1)="N"),11%*E9,IF(AND(LEFT(A9,1)="B",RIGHT(A9,1)="Y"),17%*E9,E9*22%)))</f>
        <v>21598500</v>
      </c>
      <c r="G9" s="244"/>
      <c r="H9" s="244"/>
    </row>
    <row r="10" spans="1:16">
      <c r="A10" s="239" t="s">
        <v>980</v>
      </c>
      <c r="B10" s="142"/>
      <c r="C10" s="142"/>
      <c r="D10" s="142"/>
      <c r="E10" s="142"/>
      <c r="F10" s="142"/>
      <c r="G10" s="142"/>
    </row>
    <row r="11" spans="1:16" ht="45.75" customHeight="1">
      <c r="A11" s="954" t="s">
        <v>1067</v>
      </c>
      <c r="B11" s="954"/>
      <c r="C11" s="954"/>
      <c r="D11" s="954"/>
      <c r="E11" s="954"/>
      <c r="F11" s="954"/>
      <c r="G11" s="142"/>
    </row>
    <row r="12" spans="1:16" ht="48" customHeight="1">
      <c r="A12" s="954" t="s">
        <v>1068</v>
      </c>
      <c r="B12" s="954"/>
      <c r="C12" s="954"/>
      <c r="D12" s="954"/>
      <c r="E12" s="954"/>
      <c r="F12" s="954"/>
      <c r="G12" s="142"/>
    </row>
    <row r="13" spans="1:16">
      <c r="A13" s="142" t="s">
        <v>1069</v>
      </c>
      <c r="B13" s="142"/>
      <c r="C13" s="142"/>
      <c r="D13" s="142"/>
      <c r="E13" s="142"/>
      <c r="F13" s="142"/>
      <c r="G13" s="142"/>
    </row>
    <row r="14" spans="1:16" ht="84" customHeight="1">
      <c r="A14" s="955" t="s">
        <v>1070</v>
      </c>
      <c r="B14" s="955"/>
      <c r="C14" s="955"/>
      <c r="D14" s="955"/>
      <c r="E14" s="955"/>
      <c r="F14" s="955"/>
      <c r="G14" s="955"/>
    </row>
    <row r="15" spans="1:16">
      <c r="A15" s="142" t="s">
        <v>472</v>
      </c>
      <c r="B15" s="142"/>
      <c r="C15" s="142"/>
      <c r="D15" s="142"/>
      <c r="E15" s="142"/>
      <c r="F15" s="142"/>
      <c r="G15" s="142"/>
    </row>
  </sheetData>
  <mergeCells count="4">
    <mergeCell ref="A12:F12"/>
    <mergeCell ref="A14:G14"/>
    <mergeCell ref="A3:F3"/>
    <mergeCell ref="A11:F11"/>
  </mergeCells>
  <phoneticPr fontId="2" type="noConversion"/>
  <pageMargins left="1" right="0.75" top="0.5"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2E0C9-ED3D-4E21-8653-7392D5708A07}">
  <dimension ref="A1:I24"/>
  <sheetViews>
    <sheetView workbookViewId="0">
      <selection activeCell="H1" sqref="H1"/>
    </sheetView>
  </sheetViews>
  <sheetFormatPr defaultRowHeight="15.75"/>
  <cols>
    <col min="1" max="1" width="7.7109375" style="20" customWidth="1"/>
    <col min="2" max="2" width="20.85546875" style="20" bestFit="1" customWidth="1"/>
    <col min="3" max="3" width="8" style="20" customWidth="1"/>
    <col min="4" max="4" width="8.28515625" style="20" customWidth="1"/>
    <col min="5" max="5" width="10.28515625" style="20" customWidth="1"/>
    <col min="6" max="6" width="8.28515625" style="20" customWidth="1"/>
    <col min="7" max="7" width="7.28515625" style="20" customWidth="1"/>
    <col min="8" max="8" width="13.140625" style="20" customWidth="1"/>
    <col min="9" max="16384" width="9.140625" style="20"/>
  </cols>
  <sheetData>
    <row r="1" spans="1:9">
      <c r="A1" s="417" t="s">
        <v>1072</v>
      </c>
      <c r="B1" s="418"/>
      <c r="C1" s="418"/>
      <c r="D1" s="418"/>
      <c r="E1" s="418"/>
      <c r="F1" s="418"/>
      <c r="G1" s="418"/>
      <c r="H1" s="886"/>
      <c r="I1" s="145"/>
    </row>
    <row r="2" spans="1:9">
      <c r="A2" s="419"/>
      <c r="B2" s="419"/>
      <c r="C2" s="419"/>
      <c r="D2" s="419"/>
      <c r="E2" s="419"/>
      <c r="F2" s="419"/>
    </row>
    <row r="3" spans="1:9">
      <c r="A3" s="20" t="s">
        <v>979</v>
      </c>
    </row>
    <row r="4" spans="1:9">
      <c r="A4" s="957" t="s">
        <v>1074</v>
      </c>
      <c r="B4" s="957"/>
      <c r="C4" s="957"/>
      <c r="D4" s="957"/>
      <c r="E4" s="957"/>
      <c r="F4" s="957"/>
      <c r="G4" s="957"/>
      <c r="H4" s="957"/>
    </row>
    <row r="5" spans="1:9" ht="39" customHeight="1">
      <c r="A5" s="956" t="s">
        <v>1073</v>
      </c>
      <c r="B5" s="956" t="s">
        <v>1094</v>
      </c>
      <c r="C5" s="956" t="s">
        <v>1075</v>
      </c>
      <c r="D5" s="956"/>
      <c r="E5" s="958" t="s">
        <v>1078</v>
      </c>
      <c r="F5" s="958" t="s">
        <v>1079</v>
      </c>
      <c r="G5" s="956" t="s">
        <v>1080</v>
      </c>
      <c r="H5" s="958" t="s">
        <v>1081</v>
      </c>
    </row>
    <row r="6" spans="1:9">
      <c r="A6" s="956"/>
      <c r="B6" s="956"/>
      <c r="C6" s="454" t="s">
        <v>1076</v>
      </c>
      <c r="D6" s="454" t="s">
        <v>1077</v>
      </c>
      <c r="E6" s="958"/>
      <c r="F6" s="958"/>
      <c r="G6" s="956"/>
      <c r="H6" s="958"/>
    </row>
    <row r="7" spans="1:9">
      <c r="A7" s="426">
        <v>1</v>
      </c>
      <c r="B7" s="426" t="s">
        <v>1082</v>
      </c>
      <c r="C7" s="426">
        <v>45</v>
      </c>
      <c r="D7" s="426">
        <v>75</v>
      </c>
      <c r="E7" s="455">
        <f>IF(C7&gt;10, C7/10, C7)</f>
        <v>4.5</v>
      </c>
      <c r="F7" s="455">
        <f>IF(D7&gt;10,D7/10,D7)</f>
        <v>7.5</v>
      </c>
      <c r="G7" s="455">
        <f>(E7+F7)/2</f>
        <v>6</v>
      </c>
      <c r="H7" s="455" t="str">
        <f>VLOOKUP(G7,$A$13:$B$17,2,2)</f>
        <v>Trung bình</v>
      </c>
    </row>
    <row r="8" spans="1:9">
      <c r="A8" s="426">
        <v>2</v>
      </c>
      <c r="B8" s="426" t="s">
        <v>1083</v>
      </c>
      <c r="C8" s="426">
        <v>4</v>
      </c>
      <c r="D8" s="426">
        <v>4.5</v>
      </c>
      <c r="E8" s="455">
        <f>IF(C8&gt;10, C8/10, C8)</f>
        <v>4</v>
      </c>
      <c r="F8" s="455">
        <f>IF(D8&gt;10,D8/10,D8)</f>
        <v>4.5</v>
      </c>
      <c r="G8" s="455">
        <f>(E8+F8)/2</f>
        <v>4.25</v>
      </c>
      <c r="H8" s="455" t="str">
        <f>VLOOKUP(G8,$A$13:$B$17,2,1000000000000)</f>
        <v>Rớt</v>
      </c>
    </row>
    <row r="9" spans="1:9">
      <c r="A9" s="426">
        <v>3</v>
      </c>
      <c r="B9" s="426" t="s">
        <v>1084</v>
      </c>
      <c r="C9" s="426">
        <v>56</v>
      </c>
      <c r="D9" s="426">
        <v>56</v>
      </c>
      <c r="E9" s="455">
        <f>IF(C9&gt;10, C9/10, C9)</f>
        <v>5.6</v>
      </c>
      <c r="F9" s="455">
        <f>IF(D9&gt;10,D9/10,D9)</f>
        <v>5.6</v>
      </c>
      <c r="G9" s="455">
        <f>(E9+F9)/2</f>
        <v>5.6</v>
      </c>
      <c r="H9" s="455" t="str">
        <f>VLOOKUP(G9,$A$13:$B$17,2,1000000000000)</f>
        <v>Trung bình</v>
      </c>
    </row>
    <row r="10" spans="1:9">
      <c r="A10" s="426">
        <v>4</v>
      </c>
      <c r="B10" s="426" t="s">
        <v>1085</v>
      </c>
      <c r="C10" s="426">
        <v>7.5</v>
      </c>
      <c r="D10" s="426">
        <v>6.5</v>
      </c>
      <c r="E10" s="455">
        <f>IF(C10&gt;10, C10/10, C10)</f>
        <v>7.5</v>
      </c>
      <c r="F10" s="455">
        <f>IF(D10&gt;10,D10/10,D10)</f>
        <v>6.5</v>
      </c>
      <c r="G10" s="455">
        <f>(E10+F10)/2</f>
        <v>7</v>
      </c>
      <c r="H10" s="455" t="str">
        <f>VLOOKUP(G10,$A$13:$B$17,2,1000000000000)</f>
        <v>Trung bình</v>
      </c>
    </row>
    <row r="11" spans="1:9">
      <c r="A11" s="426">
        <v>5</v>
      </c>
      <c r="B11" s="426" t="s">
        <v>1086</v>
      </c>
      <c r="C11" s="426">
        <v>89</v>
      </c>
      <c r="D11" s="426">
        <v>80</v>
      </c>
      <c r="E11" s="455">
        <f>IF(C11&gt;10, C11/10, C11)</f>
        <v>8.9</v>
      </c>
      <c r="F11" s="455">
        <f>IF(D11&gt;10,D11/10,D11)</f>
        <v>8</v>
      </c>
      <c r="G11" s="455">
        <f>(E11+F11)/2</f>
        <v>8.4499999999999993</v>
      </c>
      <c r="H11" s="455" t="str">
        <f>VLOOKUP(G11,$A$13:$B$17,2,1000000000000)</f>
        <v>Khá</v>
      </c>
    </row>
    <row r="12" spans="1:9">
      <c r="A12" s="957" t="s">
        <v>1093</v>
      </c>
      <c r="B12" s="957"/>
    </row>
    <row r="13" spans="1:9">
      <c r="A13" s="454" t="s">
        <v>1087</v>
      </c>
      <c r="B13" s="454" t="s">
        <v>1088</v>
      </c>
    </row>
    <row r="14" spans="1:9">
      <c r="A14" s="76">
        <v>0</v>
      </c>
      <c r="B14" s="76" t="s">
        <v>1089</v>
      </c>
    </row>
    <row r="15" spans="1:9">
      <c r="A15" s="76">
        <v>5</v>
      </c>
      <c r="B15" s="76" t="s">
        <v>1090</v>
      </c>
    </row>
    <row r="16" spans="1:9">
      <c r="A16" s="76">
        <v>8</v>
      </c>
      <c r="B16" s="76" t="s">
        <v>1091</v>
      </c>
    </row>
    <row r="17" spans="1:6">
      <c r="A17" s="76">
        <v>10</v>
      </c>
      <c r="B17" s="76" t="s">
        <v>1092</v>
      </c>
    </row>
    <row r="19" spans="1:6">
      <c r="A19" s="432" t="s">
        <v>980</v>
      </c>
      <c r="B19" s="433"/>
      <c r="C19" s="433"/>
      <c r="D19" s="433"/>
      <c r="E19" s="433"/>
      <c r="F19" s="433"/>
    </row>
    <row r="20" spans="1:6" ht="18" customHeight="1">
      <c r="A20" s="433" t="s">
        <v>1971</v>
      </c>
      <c r="B20" s="433"/>
      <c r="C20" s="433"/>
      <c r="D20" s="433"/>
      <c r="E20" s="433"/>
      <c r="F20" s="433"/>
    </row>
    <row r="21" spans="1:6" ht="18.75" customHeight="1">
      <c r="A21" s="433" t="s">
        <v>1972</v>
      </c>
      <c r="B21" s="433"/>
      <c r="C21" s="433"/>
      <c r="D21" s="433"/>
      <c r="E21" s="433"/>
      <c r="F21" s="433"/>
    </row>
    <row r="22" spans="1:6" ht="18.75" customHeight="1">
      <c r="A22" s="433" t="s">
        <v>1973</v>
      </c>
      <c r="B22" s="433"/>
      <c r="C22" s="433"/>
      <c r="D22" s="433"/>
      <c r="E22" s="433"/>
      <c r="F22" s="433"/>
    </row>
    <row r="23" spans="1:6" ht="18.75" customHeight="1">
      <c r="A23" s="433" t="s">
        <v>1974</v>
      </c>
      <c r="B23" s="433"/>
      <c r="C23" s="433"/>
      <c r="D23" s="433"/>
      <c r="E23" s="433"/>
      <c r="F23" s="433"/>
    </row>
    <row r="24" spans="1:6" ht="19.5" customHeight="1">
      <c r="A24" s="433" t="s">
        <v>839</v>
      </c>
      <c r="B24" s="433"/>
      <c r="C24" s="433"/>
      <c r="D24" s="433"/>
      <c r="E24" s="433"/>
      <c r="F24" s="433"/>
    </row>
  </sheetData>
  <mergeCells count="9">
    <mergeCell ref="C5:D5"/>
    <mergeCell ref="A12:B12"/>
    <mergeCell ref="A4:H4"/>
    <mergeCell ref="A5:A6"/>
    <mergeCell ref="B5:B6"/>
    <mergeCell ref="E5:E6"/>
    <mergeCell ref="F5:F6"/>
    <mergeCell ref="G5:G6"/>
    <mergeCell ref="H5:H6"/>
  </mergeCells>
  <phoneticPr fontId="2" type="noConversion"/>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EEA6-2AFE-4271-B9BD-2F09C138598B}">
  <dimension ref="A1:H26"/>
  <sheetViews>
    <sheetView tabSelected="1" zoomScale="148" zoomScaleNormal="148" workbookViewId="0">
      <selection activeCell="H13" sqref="H13"/>
    </sheetView>
  </sheetViews>
  <sheetFormatPr defaultRowHeight="15.75"/>
  <cols>
    <col min="1" max="1" width="16.5703125" style="20" customWidth="1"/>
    <col min="2" max="2" width="10.42578125" style="20" customWidth="1"/>
    <col min="3" max="3" width="9.85546875" style="20" customWidth="1"/>
    <col min="4" max="4" width="11.7109375" style="20" customWidth="1"/>
    <col min="5" max="6" width="15.7109375" style="20" customWidth="1"/>
    <col min="7" max="8" width="14.5703125" style="20" customWidth="1"/>
    <col min="9" max="16384" width="9.140625" style="20"/>
  </cols>
  <sheetData>
    <row r="1" spans="1:8">
      <c r="A1" s="456" t="s">
        <v>1095</v>
      </c>
      <c r="B1" s="457"/>
      <c r="C1" s="457"/>
      <c r="D1" s="457"/>
      <c r="E1" s="457"/>
      <c r="F1" s="457"/>
      <c r="G1" s="886"/>
      <c r="H1" s="145"/>
    </row>
    <row r="2" spans="1:8" ht="16.5" thickBot="1">
      <c r="A2" s="959" t="s">
        <v>1209</v>
      </c>
      <c r="B2" s="959"/>
      <c r="C2" s="959"/>
      <c r="D2" s="959"/>
      <c r="E2" s="959"/>
      <c r="F2" s="959"/>
      <c r="G2" s="959"/>
      <c r="H2" s="959"/>
    </row>
    <row r="3" spans="1:8" ht="32.25" thickTop="1">
      <c r="A3" s="406" t="s">
        <v>1210</v>
      </c>
      <c r="B3" s="458" t="s">
        <v>1211</v>
      </c>
      <c r="C3" s="458" t="s">
        <v>1031</v>
      </c>
      <c r="D3" s="459" t="s">
        <v>1212</v>
      </c>
      <c r="E3" s="458" t="s">
        <v>1213</v>
      </c>
      <c r="F3" s="458" t="s">
        <v>1061</v>
      </c>
      <c r="G3" s="458" t="s">
        <v>1214</v>
      </c>
      <c r="H3" s="460" t="s">
        <v>1060</v>
      </c>
    </row>
    <row r="4" spans="1:8">
      <c r="A4" s="461" t="s">
        <v>1215</v>
      </c>
      <c r="B4" s="75" t="s">
        <v>1139</v>
      </c>
      <c r="C4" s="77">
        <v>25</v>
      </c>
      <c r="D4" s="77">
        <v>400000</v>
      </c>
      <c r="E4" s="462">
        <f t="shared" ref="E4:E9" si="0">C4*D4</f>
        <v>10000000</v>
      </c>
      <c r="F4" s="462">
        <f t="shared" ref="F4:F9" si="1">IF(B4="A",10%*E4,IF(B4="B",20%*E4,IF(B4="C",30%*E4,0)))</f>
        <v>1000000</v>
      </c>
      <c r="G4" s="462">
        <f t="shared" ref="G4:G9" si="2">($E$10/$C$10)*C4*10%</f>
        <v>12659883.720930234</v>
      </c>
      <c r="H4" s="463">
        <f t="shared" ref="H4:H9" si="3">SUM(E4:G4)</f>
        <v>23659883.720930234</v>
      </c>
    </row>
    <row r="5" spans="1:8">
      <c r="A5" s="461" t="s">
        <v>1216</v>
      </c>
      <c r="B5" s="75" t="s">
        <v>1140</v>
      </c>
      <c r="C5" s="77">
        <v>45</v>
      </c>
      <c r="D5" s="77">
        <v>700000</v>
      </c>
      <c r="E5" s="462">
        <f t="shared" si="0"/>
        <v>31500000</v>
      </c>
      <c r="F5" s="462">
        <f t="shared" si="1"/>
        <v>6300000</v>
      </c>
      <c r="G5" s="462">
        <f t="shared" si="2"/>
        <v>22787790.69767442</v>
      </c>
      <c r="H5" s="463">
        <f t="shared" si="3"/>
        <v>60587790.697674423</v>
      </c>
    </row>
    <row r="6" spans="1:8">
      <c r="A6" s="461" t="s">
        <v>1220</v>
      </c>
      <c r="B6" s="75" t="s">
        <v>1141</v>
      </c>
      <c r="C6" s="77">
        <v>55</v>
      </c>
      <c r="D6" s="77">
        <v>8000000</v>
      </c>
      <c r="E6" s="462">
        <f t="shared" si="0"/>
        <v>440000000</v>
      </c>
      <c r="F6" s="462">
        <f t="shared" si="1"/>
        <v>132000000</v>
      </c>
      <c r="G6" s="462">
        <f t="shared" si="2"/>
        <v>27851744.186046511</v>
      </c>
      <c r="H6" s="463">
        <f t="shared" si="3"/>
        <v>599851744.18604648</v>
      </c>
    </row>
    <row r="7" spans="1:8">
      <c r="A7" s="461" t="s">
        <v>1219</v>
      </c>
      <c r="B7" s="75" t="s">
        <v>1140</v>
      </c>
      <c r="C7" s="77">
        <v>64</v>
      </c>
      <c r="D7" s="77">
        <v>7000000</v>
      </c>
      <c r="E7" s="462">
        <f t="shared" si="0"/>
        <v>448000000</v>
      </c>
      <c r="F7" s="462">
        <f t="shared" si="1"/>
        <v>89600000</v>
      </c>
      <c r="G7" s="462">
        <f t="shared" si="2"/>
        <v>32409302.325581398</v>
      </c>
      <c r="H7" s="463">
        <f t="shared" si="3"/>
        <v>570009302.32558143</v>
      </c>
    </row>
    <row r="8" spans="1:8">
      <c r="A8" s="461" t="s">
        <v>1217</v>
      </c>
      <c r="B8" s="75" t="s">
        <v>1218</v>
      </c>
      <c r="C8" s="77">
        <v>75</v>
      </c>
      <c r="D8" s="77">
        <v>5500000</v>
      </c>
      <c r="E8" s="462">
        <f t="shared" si="0"/>
        <v>412500000</v>
      </c>
      <c r="F8" s="462">
        <f t="shared" si="1"/>
        <v>0</v>
      </c>
      <c r="G8" s="462">
        <f t="shared" si="2"/>
        <v>37979651.162790701</v>
      </c>
      <c r="H8" s="463">
        <f t="shared" si="3"/>
        <v>450479651.16279072</v>
      </c>
    </row>
    <row r="9" spans="1:8">
      <c r="A9" s="461" t="s">
        <v>976</v>
      </c>
      <c r="B9" s="75" t="s">
        <v>1139</v>
      </c>
      <c r="C9" s="77">
        <v>80</v>
      </c>
      <c r="D9" s="77">
        <v>5000000</v>
      </c>
      <c r="E9" s="462">
        <f t="shared" si="0"/>
        <v>400000000</v>
      </c>
      <c r="F9" s="462">
        <f t="shared" si="1"/>
        <v>40000000</v>
      </c>
      <c r="G9" s="462">
        <f t="shared" si="2"/>
        <v>40511627.906976752</v>
      </c>
      <c r="H9" s="463">
        <f t="shared" si="3"/>
        <v>480511627.90697676</v>
      </c>
    </row>
    <row r="10" spans="1:8" ht="16.5" thickBot="1">
      <c r="A10" s="960" t="s">
        <v>978</v>
      </c>
      <c r="B10" s="961"/>
      <c r="C10" s="464">
        <f t="shared" ref="C10:H10" si="4">SUM(C4:C9)</f>
        <v>344</v>
      </c>
      <c r="D10" s="464">
        <f t="shared" si="4"/>
        <v>26600000</v>
      </c>
      <c r="E10" s="464">
        <f t="shared" si="4"/>
        <v>1742000000</v>
      </c>
      <c r="F10" s="464">
        <f t="shared" si="4"/>
        <v>268900000</v>
      </c>
      <c r="G10" s="464">
        <f t="shared" si="4"/>
        <v>174200000.00000003</v>
      </c>
      <c r="H10" s="464">
        <f t="shared" si="4"/>
        <v>2185100000</v>
      </c>
    </row>
    <row r="11" spans="1:8" ht="16.5" thickTop="1"/>
    <row r="12" spans="1:8">
      <c r="A12" s="432" t="s">
        <v>1221</v>
      </c>
      <c r="B12" s="433"/>
      <c r="C12" s="433"/>
      <c r="D12" s="433"/>
      <c r="E12" s="433"/>
    </row>
    <row r="13" spans="1:8">
      <c r="A13" s="433" t="s">
        <v>1222</v>
      </c>
      <c r="B13" s="433"/>
      <c r="C13" s="433"/>
      <c r="D13" s="433"/>
      <c r="E13" s="433"/>
    </row>
    <row r="14" spans="1:8">
      <c r="A14" s="433" t="s">
        <v>1223</v>
      </c>
      <c r="B14" s="433"/>
      <c r="C14" s="433"/>
      <c r="D14" s="433"/>
      <c r="E14" s="433"/>
    </row>
    <row r="15" spans="1:8">
      <c r="A15" s="433" t="s">
        <v>1224</v>
      </c>
      <c r="B15" s="433"/>
      <c r="C15" s="433"/>
      <c r="D15" s="433"/>
      <c r="E15" s="433"/>
    </row>
    <row r="16" spans="1:8">
      <c r="A16" s="433" t="s">
        <v>1225</v>
      </c>
      <c r="B16" s="433"/>
      <c r="C16" s="433"/>
      <c r="D16" s="433"/>
      <c r="E16" s="433"/>
    </row>
    <row r="17" spans="1:5">
      <c r="A17" s="433" t="s">
        <v>1226</v>
      </c>
      <c r="B17" s="433"/>
      <c r="C17" s="433"/>
      <c r="D17" s="433"/>
      <c r="E17" s="433"/>
    </row>
    <row r="18" spans="1:5">
      <c r="A18" s="433" t="s">
        <v>1227</v>
      </c>
      <c r="B18" s="433"/>
      <c r="C18" s="433"/>
      <c r="D18" s="433"/>
      <c r="E18" s="433"/>
    </row>
    <row r="19" spans="1:5">
      <c r="A19" s="433" t="s">
        <v>1228</v>
      </c>
      <c r="B19" s="433"/>
      <c r="C19" s="433"/>
      <c r="D19" s="433"/>
      <c r="E19" s="433"/>
    </row>
    <row r="20" spans="1:5">
      <c r="A20" s="433" t="s">
        <v>1229</v>
      </c>
      <c r="B20" s="433"/>
      <c r="C20" s="433"/>
      <c r="D20" s="433"/>
      <c r="E20" s="433"/>
    </row>
    <row r="21" spans="1:5">
      <c r="A21" s="433" t="s">
        <v>1230</v>
      </c>
      <c r="B21" s="433"/>
      <c r="C21" s="433"/>
      <c r="D21" s="433"/>
      <c r="E21" s="433"/>
    </row>
    <row r="22" spans="1:5">
      <c r="A22" s="433" t="s">
        <v>1231</v>
      </c>
      <c r="B22" s="433"/>
      <c r="C22" s="433"/>
      <c r="D22" s="433"/>
      <c r="E22" s="433"/>
    </row>
    <row r="23" spans="1:5">
      <c r="A23" s="433" t="s">
        <v>1232</v>
      </c>
      <c r="B23" s="433"/>
      <c r="C23" s="433"/>
      <c r="D23" s="433"/>
      <c r="E23" s="433"/>
    </row>
    <row r="24" spans="1:5">
      <c r="A24" s="433" t="s">
        <v>1233</v>
      </c>
      <c r="B24" s="433"/>
      <c r="C24" s="433"/>
      <c r="D24" s="433"/>
      <c r="E24" s="433"/>
    </row>
    <row r="25" spans="1:5">
      <c r="A25" s="433" t="s">
        <v>1234</v>
      </c>
      <c r="B25" s="433"/>
      <c r="C25" s="433"/>
      <c r="D25" s="433"/>
      <c r="E25" s="433"/>
    </row>
    <row r="26" spans="1:5">
      <c r="A26" s="433" t="s">
        <v>840</v>
      </c>
      <c r="B26" s="433"/>
      <c r="C26" s="433"/>
      <c r="D26" s="433"/>
      <c r="E26" s="433"/>
    </row>
  </sheetData>
  <mergeCells count="2">
    <mergeCell ref="A2:H2"/>
    <mergeCell ref="A10:B10"/>
  </mergeCells>
  <phoneticPr fontId="2" type="noConversion"/>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2C00-EC4B-4B65-8EDD-A78CFA71C118}">
  <dimension ref="A1:H28"/>
  <sheetViews>
    <sheetView workbookViewId="0">
      <selection activeCell="I20" sqref="I20"/>
    </sheetView>
  </sheetViews>
  <sheetFormatPr defaultRowHeight="15.75"/>
  <cols>
    <col min="1" max="1" width="9.140625" style="104"/>
    <col min="2" max="4" width="9.28515625" style="104" bestFit="1" customWidth="1"/>
    <col min="5" max="5" width="10.28515625" style="104" bestFit="1" customWidth="1"/>
    <col min="6" max="6" width="14.140625" style="104" customWidth="1"/>
    <col min="7" max="7" width="10.28515625" style="104" bestFit="1" customWidth="1"/>
    <col min="8" max="16384" width="9.140625" style="104"/>
  </cols>
  <sheetData>
    <row r="1" spans="1:8">
      <c r="A1" s="102" t="s">
        <v>1119</v>
      </c>
      <c r="B1" s="103"/>
      <c r="C1" s="103"/>
      <c r="D1" s="103"/>
      <c r="E1" s="103"/>
      <c r="F1" s="103"/>
      <c r="G1" s="103"/>
    </row>
    <row r="3" spans="1:8">
      <c r="A3" s="953" t="s">
        <v>1235</v>
      </c>
      <c r="B3" s="953"/>
      <c r="C3" s="953"/>
      <c r="D3" s="953"/>
      <c r="E3" s="953"/>
      <c r="F3" s="953"/>
      <c r="G3" s="953"/>
    </row>
    <row r="4" spans="1:8" ht="16.5" thickBot="1">
      <c r="D4" s="574" t="s">
        <v>962</v>
      </c>
      <c r="E4" s="575">
        <f ca="1">MONTH(TODAY())</f>
        <v>3</v>
      </c>
    </row>
    <row r="5" spans="1:8" ht="32.25" thickTop="1">
      <c r="A5" s="105" t="s">
        <v>1236</v>
      </c>
      <c r="B5" s="106" t="s">
        <v>1237</v>
      </c>
      <c r="C5" s="106" t="s">
        <v>1238</v>
      </c>
      <c r="D5" s="106" t="s">
        <v>1239</v>
      </c>
      <c r="E5" s="106" t="s">
        <v>1099</v>
      </c>
      <c r="F5" s="106" t="s">
        <v>1240</v>
      </c>
      <c r="G5" s="107" t="s">
        <v>970</v>
      </c>
    </row>
    <row r="6" spans="1:8">
      <c r="A6" s="108" t="s">
        <v>1243</v>
      </c>
      <c r="B6" s="109">
        <v>400</v>
      </c>
      <c r="C6" s="109">
        <v>1500</v>
      </c>
      <c r="D6" s="240">
        <f t="shared" ref="D6:D11" si="0">IF(A6="KD",3,IF(A6="NN",5,IF(A6="TT",4,2)))</f>
        <v>3</v>
      </c>
      <c r="E6" s="240">
        <f t="shared" ref="E6:E11" si="1">(C6-B6)*D6*550</f>
        <v>1815000</v>
      </c>
      <c r="F6" s="240">
        <f t="shared" ref="F6:F11" si="2">IF((C6-B6)&lt;50,0,IF((C6-B6)&lt;=100,E6*35%,E6*100%))</f>
        <v>1815000</v>
      </c>
      <c r="G6" s="641">
        <f t="shared" ref="G6:G11" si="3">F6+E6</f>
        <v>3630000</v>
      </c>
    </row>
    <row r="7" spans="1:8">
      <c r="A7" s="108" t="s">
        <v>1241</v>
      </c>
      <c r="B7" s="109">
        <v>58</v>
      </c>
      <c r="C7" s="109">
        <v>400</v>
      </c>
      <c r="D7" s="240">
        <f t="shared" si="0"/>
        <v>5</v>
      </c>
      <c r="E7" s="240">
        <f t="shared" si="1"/>
        <v>940500</v>
      </c>
      <c r="F7" s="240">
        <f t="shared" si="2"/>
        <v>940500</v>
      </c>
      <c r="G7" s="641">
        <f t="shared" si="3"/>
        <v>1881000</v>
      </c>
    </row>
    <row r="8" spans="1:8">
      <c r="A8" s="108" t="s">
        <v>1244</v>
      </c>
      <c r="B8" s="109">
        <v>150</v>
      </c>
      <c r="C8" s="109">
        <v>700</v>
      </c>
      <c r="D8" s="240">
        <f t="shared" si="0"/>
        <v>2</v>
      </c>
      <c r="E8" s="240">
        <f t="shared" si="1"/>
        <v>605000</v>
      </c>
      <c r="F8" s="240">
        <f t="shared" si="2"/>
        <v>605000</v>
      </c>
      <c r="G8" s="641">
        <f t="shared" si="3"/>
        <v>1210000</v>
      </c>
    </row>
    <row r="9" spans="1:8">
      <c r="A9" s="108" t="s">
        <v>1242</v>
      </c>
      <c r="B9" s="109">
        <v>90</v>
      </c>
      <c r="C9" s="109">
        <v>150</v>
      </c>
      <c r="D9" s="240">
        <f t="shared" si="0"/>
        <v>4</v>
      </c>
      <c r="E9" s="240">
        <f t="shared" si="1"/>
        <v>132000</v>
      </c>
      <c r="F9" s="240">
        <f t="shared" si="2"/>
        <v>46200</v>
      </c>
      <c r="G9" s="641">
        <f t="shared" si="3"/>
        <v>178200</v>
      </c>
    </row>
    <row r="10" spans="1:8">
      <c r="A10" s="108" t="s">
        <v>1243</v>
      </c>
      <c r="B10" s="109">
        <v>34</v>
      </c>
      <c r="C10" s="109">
        <v>87</v>
      </c>
      <c r="D10" s="240">
        <f t="shared" si="0"/>
        <v>3</v>
      </c>
      <c r="E10" s="240">
        <f t="shared" si="1"/>
        <v>87450</v>
      </c>
      <c r="F10" s="240">
        <f t="shared" si="2"/>
        <v>30607.499999999996</v>
      </c>
      <c r="G10" s="641">
        <f t="shared" si="3"/>
        <v>118057.5</v>
      </c>
    </row>
    <row r="11" spans="1:8" ht="16.5" thickBot="1">
      <c r="A11" s="110" t="s">
        <v>1241</v>
      </c>
      <c r="B11" s="111">
        <v>50</v>
      </c>
      <c r="C11" s="111">
        <v>90</v>
      </c>
      <c r="D11" s="642">
        <f t="shared" si="0"/>
        <v>5</v>
      </c>
      <c r="E11" s="642">
        <f t="shared" si="1"/>
        <v>110000</v>
      </c>
      <c r="F11" s="642">
        <f t="shared" si="2"/>
        <v>0</v>
      </c>
      <c r="G11" s="643">
        <f t="shared" si="3"/>
        <v>110000</v>
      </c>
    </row>
    <row r="12" spans="1:8" ht="16.5" thickTop="1"/>
    <row r="13" spans="1:8">
      <c r="A13" s="576" t="s">
        <v>1221</v>
      </c>
      <c r="B13" s="577"/>
      <c r="C13" s="577"/>
      <c r="D13" s="577"/>
      <c r="E13" s="577"/>
      <c r="F13" s="577"/>
      <c r="G13" s="577"/>
      <c r="H13" s="577"/>
    </row>
    <row r="14" spans="1:8">
      <c r="A14" s="577" t="s">
        <v>1969</v>
      </c>
      <c r="B14" s="577"/>
      <c r="C14" s="577"/>
      <c r="D14" s="577"/>
      <c r="E14" s="577"/>
      <c r="F14" s="577"/>
      <c r="G14" s="577"/>
      <c r="H14" s="577"/>
    </row>
    <row r="15" spans="1:8">
      <c r="A15" s="577" t="s">
        <v>1245</v>
      </c>
      <c r="B15" s="577"/>
      <c r="C15" s="577"/>
      <c r="D15" s="577"/>
      <c r="E15" s="577"/>
      <c r="F15" s="577"/>
      <c r="G15" s="577"/>
      <c r="H15" s="577"/>
    </row>
    <row r="16" spans="1:8">
      <c r="A16" s="577"/>
      <c r="B16" s="578" t="s">
        <v>1246</v>
      </c>
      <c r="C16" s="577"/>
      <c r="D16" s="577"/>
      <c r="E16" s="577"/>
      <c r="F16" s="577"/>
      <c r="G16" s="577"/>
      <c r="H16" s="577"/>
    </row>
    <row r="17" spans="1:8">
      <c r="A17" s="577"/>
      <c r="B17" s="578" t="s">
        <v>1247</v>
      </c>
      <c r="C17" s="577"/>
      <c r="D17" s="577"/>
      <c r="E17" s="577"/>
      <c r="F17" s="577"/>
      <c r="G17" s="577"/>
      <c r="H17" s="577"/>
    </row>
    <row r="18" spans="1:8">
      <c r="A18" s="577"/>
      <c r="B18" s="578" t="s">
        <v>1248</v>
      </c>
      <c r="C18" s="577"/>
      <c r="D18" s="577"/>
      <c r="E18" s="577"/>
      <c r="F18" s="577"/>
      <c r="G18" s="577"/>
      <c r="H18" s="577"/>
    </row>
    <row r="19" spans="1:8">
      <c r="A19" s="577"/>
      <c r="B19" s="578" t="s">
        <v>1249</v>
      </c>
      <c r="C19" s="577"/>
      <c r="D19" s="577"/>
      <c r="E19" s="577"/>
      <c r="F19" s="577"/>
      <c r="G19" s="577"/>
      <c r="H19" s="577"/>
    </row>
    <row r="20" spans="1:8">
      <c r="A20" s="577" t="s">
        <v>1968</v>
      </c>
      <c r="B20" s="577"/>
      <c r="C20" s="577"/>
      <c r="D20" s="577"/>
      <c r="E20" s="577"/>
      <c r="F20" s="577"/>
      <c r="G20" s="577"/>
      <c r="H20" s="577"/>
    </row>
    <row r="21" spans="1:8">
      <c r="A21" s="577" t="s">
        <v>1250</v>
      </c>
      <c r="B21" s="577"/>
      <c r="C21" s="577"/>
      <c r="D21" s="577"/>
      <c r="E21" s="577"/>
      <c r="F21" s="577"/>
      <c r="G21" s="577"/>
      <c r="H21" s="577"/>
    </row>
    <row r="22" spans="1:8">
      <c r="A22" s="577"/>
      <c r="B22" s="578" t="s">
        <v>1422</v>
      </c>
      <c r="C22" s="577"/>
      <c r="D22" s="577"/>
      <c r="E22" s="577"/>
      <c r="F22" s="577"/>
      <c r="G22" s="577"/>
      <c r="H22" s="577"/>
    </row>
    <row r="23" spans="1:8">
      <c r="A23" s="577"/>
      <c r="B23" s="578" t="s">
        <v>1423</v>
      </c>
      <c r="C23" s="577"/>
      <c r="D23" s="577"/>
      <c r="E23" s="577"/>
      <c r="F23" s="577"/>
      <c r="G23" s="577"/>
      <c r="H23" s="577"/>
    </row>
    <row r="24" spans="1:8">
      <c r="A24" s="577"/>
      <c r="B24" s="578" t="s">
        <v>1424</v>
      </c>
      <c r="C24" s="577"/>
      <c r="D24" s="577"/>
      <c r="E24" s="577"/>
      <c r="F24" s="577"/>
      <c r="G24" s="577"/>
      <c r="H24" s="577"/>
    </row>
    <row r="25" spans="1:8">
      <c r="A25" s="577" t="s">
        <v>1970</v>
      </c>
      <c r="B25" s="577"/>
      <c r="C25" s="577"/>
      <c r="D25" s="577"/>
      <c r="E25" s="577"/>
      <c r="F25" s="577"/>
      <c r="G25" s="577"/>
      <c r="H25" s="577"/>
    </row>
    <row r="26" spans="1:8">
      <c r="A26" s="577" t="s">
        <v>1251</v>
      </c>
      <c r="B26" s="577"/>
      <c r="C26" s="577"/>
      <c r="D26" s="577"/>
      <c r="E26" s="577"/>
      <c r="F26" s="577"/>
      <c r="G26" s="577"/>
      <c r="H26" s="577"/>
    </row>
    <row r="27" spans="1:8">
      <c r="A27" s="577" t="s">
        <v>1252</v>
      </c>
      <c r="B27" s="577"/>
      <c r="C27" s="577"/>
      <c r="D27" s="577"/>
      <c r="E27" s="577"/>
      <c r="F27" s="577"/>
      <c r="G27" s="577"/>
      <c r="H27" s="577"/>
    </row>
    <row r="28" spans="1:8">
      <c r="A28" s="577" t="s">
        <v>187</v>
      </c>
      <c r="B28" s="577"/>
      <c r="C28" s="577"/>
      <c r="D28" s="577"/>
      <c r="E28" s="577"/>
      <c r="F28" s="577"/>
      <c r="G28" s="577"/>
      <c r="H28" s="577"/>
    </row>
  </sheetData>
  <mergeCells count="1">
    <mergeCell ref="A3:G3"/>
  </mergeCells>
  <phoneticPr fontId="0" type="noConversion"/>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8E31-8463-4B73-A497-830DE3D82A9E}">
  <dimension ref="A1:H27"/>
  <sheetViews>
    <sheetView topLeftCell="A4" workbookViewId="0">
      <selection activeCell="F7" sqref="F7"/>
    </sheetView>
  </sheetViews>
  <sheetFormatPr defaultRowHeight="15.75"/>
  <cols>
    <col min="1" max="1" width="14.5703125" style="20" customWidth="1"/>
    <col min="2" max="2" width="17.85546875" style="20" customWidth="1"/>
    <col min="3" max="3" width="11.140625" style="20" customWidth="1"/>
    <col min="4" max="5" width="12" style="20" customWidth="1"/>
    <col min="6" max="6" width="10.140625" style="20" customWidth="1"/>
    <col min="7" max="16384" width="9.140625" style="20"/>
  </cols>
  <sheetData>
    <row r="1" spans="1:8">
      <c r="A1" s="417" t="s">
        <v>1155</v>
      </c>
      <c r="B1" s="419"/>
      <c r="C1" s="419"/>
      <c r="D1" s="419"/>
      <c r="E1" s="419"/>
      <c r="F1" s="419"/>
      <c r="G1" s="419"/>
      <c r="H1" s="419"/>
    </row>
    <row r="2" spans="1:8">
      <c r="A2" s="20" t="s">
        <v>979</v>
      </c>
    </row>
    <row r="3" spans="1:8" ht="21" customHeight="1">
      <c r="A3" s="963" t="s">
        <v>1096</v>
      </c>
      <c r="B3" s="963"/>
      <c r="C3" s="963"/>
      <c r="D3" s="963"/>
      <c r="E3" s="963"/>
      <c r="F3" s="963"/>
    </row>
    <row r="4" spans="1:8" ht="42.75" customHeight="1">
      <c r="A4" s="73" t="s">
        <v>1105</v>
      </c>
      <c r="B4" s="73" t="s">
        <v>1106</v>
      </c>
      <c r="C4" s="465" t="s">
        <v>1097</v>
      </c>
      <c r="D4" s="465" t="s">
        <v>1098</v>
      </c>
      <c r="E4" s="73" t="s">
        <v>1103</v>
      </c>
      <c r="F4" s="73" t="s">
        <v>1099</v>
      </c>
    </row>
    <row r="5" spans="1:8">
      <c r="A5" s="76" t="s">
        <v>1100</v>
      </c>
      <c r="B5" s="472" t="str">
        <f>VLOOKUP(A5,$A$11:$C$15,2,0)</f>
        <v>Xà bông LifeBoy</v>
      </c>
      <c r="C5" s="77">
        <v>19</v>
      </c>
      <c r="D5" s="466">
        <f>VLOOKUP(A5,$A$11:$C$15,3,0)</f>
        <v>4200</v>
      </c>
      <c r="E5" s="466">
        <f>IF(C5&lt;=4,0,IF(C5&lt;=9,1,IF(C5&lt;=14,2,IF(C5&lt;=19,3,5))))</f>
        <v>3</v>
      </c>
      <c r="F5" s="579">
        <f>(C5-E5)*D5</f>
        <v>67200</v>
      </c>
    </row>
    <row r="6" spans="1:8">
      <c r="A6" s="76" t="s">
        <v>1101</v>
      </c>
      <c r="B6" s="472" t="str">
        <f>VLOOKUP(A6,$A$11:$C$15,2,0)</f>
        <v>Nước</v>
      </c>
      <c r="C6" s="77">
        <v>5</v>
      </c>
      <c r="D6" s="466">
        <f>VLOOKUP(A6,$A$11:$C$15,3,0)</f>
        <v>4350</v>
      </c>
      <c r="E6" s="466">
        <f>IF(C6&lt;=4,0,IF(C6&lt;=9,1,IF(C6&lt;=14,2,IF(C6&lt;=19,3,5))))</f>
        <v>1</v>
      </c>
      <c r="F6" s="579">
        <f>(C6-E6)*D6</f>
        <v>17400</v>
      </c>
    </row>
    <row r="7" spans="1:8">
      <c r="A7" s="76" t="s">
        <v>1102</v>
      </c>
      <c r="B7" s="472" t="str">
        <f>VLOOKUP(A7,$A$11:$C$15,2,0)</f>
        <v>Thực phẩm</v>
      </c>
      <c r="C7" s="77">
        <v>16</v>
      </c>
      <c r="D7" s="466">
        <f>VLOOKUP(A7,$A$11:$C$15,3,0)</f>
        <v>2000</v>
      </c>
      <c r="E7" s="466">
        <f>IF(C7&lt;=4,0,IF(C7&lt;=9,1,IF(C7&lt;=14,2,IF(C7&lt;=19,3,5))))</f>
        <v>3</v>
      </c>
      <c r="F7" s="579">
        <f>(C7-E7)*D7</f>
        <v>26000</v>
      </c>
    </row>
    <row r="8" spans="1:8">
      <c r="A8" s="76" t="s">
        <v>38</v>
      </c>
      <c r="B8" s="472" t="str">
        <f>VLOOKUP(A8,$A$11:$C$15,2,0)</f>
        <v>Súp Knor</v>
      </c>
      <c r="C8" s="77">
        <v>1</v>
      </c>
      <c r="D8" s="466">
        <f>VLOOKUP(A8,$A$11:$C$15,3,0)</f>
        <v>1000</v>
      </c>
      <c r="E8" s="466">
        <f>IF(C8&lt;=4,0,IF(C8&lt;=9,1,IF(C8&lt;=14,2,IF(C8&lt;=19,3,5))))</f>
        <v>0</v>
      </c>
      <c r="F8" s="579">
        <f>(C8-E8)*D8</f>
        <v>1000</v>
      </c>
    </row>
    <row r="9" spans="1:8">
      <c r="A9" s="957" t="s">
        <v>1104</v>
      </c>
      <c r="B9" s="957"/>
      <c r="C9" s="957"/>
      <c r="D9" s="957"/>
      <c r="E9" s="957"/>
      <c r="F9" s="580">
        <f>SUM(F5:F8)</f>
        <v>111600</v>
      </c>
    </row>
    <row r="10" spans="1:8">
      <c r="A10" s="964" t="s">
        <v>1111</v>
      </c>
      <c r="B10" s="964"/>
      <c r="C10" s="964"/>
    </row>
    <row r="11" spans="1:8">
      <c r="A11" s="467" t="s">
        <v>1108</v>
      </c>
      <c r="B11" s="467" t="s">
        <v>1107</v>
      </c>
      <c r="C11" s="467" t="s">
        <v>1032</v>
      </c>
    </row>
    <row r="12" spans="1:8">
      <c r="A12" s="76" t="s">
        <v>1100</v>
      </c>
      <c r="B12" s="76" t="s">
        <v>1109</v>
      </c>
      <c r="C12" s="76">
        <v>4200</v>
      </c>
    </row>
    <row r="13" spans="1:8">
      <c r="A13" s="76" t="s">
        <v>1101</v>
      </c>
      <c r="B13" s="76" t="s">
        <v>51</v>
      </c>
      <c r="C13" s="76">
        <v>4350</v>
      </c>
    </row>
    <row r="14" spans="1:8">
      <c r="A14" s="76" t="s">
        <v>38</v>
      </c>
      <c r="B14" s="76" t="s">
        <v>1110</v>
      </c>
      <c r="C14" s="76">
        <v>1000</v>
      </c>
    </row>
    <row r="15" spans="1:8">
      <c r="A15" s="76" t="s">
        <v>1102</v>
      </c>
      <c r="B15" s="76" t="s">
        <v>52</v>
      </c>
      <c r="C15" s="76">
        <v>2000</v>
      </c>
    </row>
    <row r="16" spans="1:8">
      <c r="A16" s="432" t="s">
        <v>980</v>
      </c>
      <c r="B16" s="433"/>
      <c r="C16" s="433"/>
      <c r="D16" s="433"/>
      <c r="E16" s="433"/>
      <c r="F16" s="433"/>
      <c r="G16" s="433"/>
    </row>
    <row r="17" spans="1:7">
      <c r="A17" s="433" t="s">
        <v>1112</v>
      </c>
      <c r="B17" s="433"/>
      <c r="C17" s="433"/>
      <c r="D17" s="433"/>
      <c r="E17" s="433"/>
      <c r="F17" s="433"/>
      <c r="G17" s="433"/>
    </row>
    <row r="18" spans="1:7" ht="20.25" customHeight="1">
      <c r="A18" s="433" t="s">
        <v>1113</v>
      </c>
      <c r="B18" s="433"/>
      <c r="C18" s="433"/>
      <c r="D18" s="433"/>
      <c r="E18" s="433"/>
      <c r="F18" s="433"/>
      <c r="G18" s="433"/>
    </row>
    <row r="19" spans="1:7" ht="33" customHeight="1">
      <c r="A19" s="962" t="s">
        <v>1114</v>
      </c>
      <c r="B19" s="962"/>
      <c r="C19" s="962"/>
      <c r="D19" s="962"/>
      <c r="E19" s="962"/>
      <c r="F19" s="962"/>
      <c r="G19" s="962"/>
    </row>
    <row r="20" spans="1:7">
      <c r="A20" s="433"/>
      <c r="B20" s="468" t="s">
        <v>1115</v>
      </c>
      <c r="C20" s="433"/>
      <c r="D20" s="433"/>
      <c r="E20" s="433"/>
      <c r="F20" s="433"/>
      <c r="G20" s="433"/>
    </row>
    <row r="21" spans="1:7">
      <c r="A21" s="433"/>
      <c r="B21" s="468" t="s">
        <v>1116</v>
      </c>
      <c r="C21" s="433"/>
      <c r="D21" s="433"/>
      <c r="E21" s="433"/>
      <c r="F21" s="433"/>
      <c r="G21" s="433"/>
    </row>
    <row r="22" spans="1:7">
      <c r="A22" s="433"/>
      <c r="B22" s="468" t="s">
        <v>1117</v>
      </c>
      <c r="C22" s="433"/>
      <c r="D22" s="433"/>
      <c r="E22" s="433"/>
      <c r="F22" s="433"/>
      <c r="G22" s="433"/>
    </row>
    <row r="23" spans="1:7">
      <c r="A23" s="433"/>
      <c r="B23" s="468" t="s">
        <v>1118</v>
      </c>
      <c r="C23" s="433"/>
      <c r="D23" s="433"/>
      <c r="E23" s="433"/>
      <c r="F23" s="433"/>
      <c r="G23" s="433"/>
    </row>
    <row r="24" spans="1:7">
      <c r="A24" s="433"/>
      <c r="B24" s="468" t="s">
        <v>39</v>
      </c>
      <c r="C24" s="433"/>
      <c r="D24" s="433"/>
      <c r="E24" s="433"/>
      <c r="F24" s="433"/>
      <c r="G24" s="433"/>
    </row>
    <row r="25" spans="1:7" ht="21.75" customHeight="1">
      <c r="A25" s="433" t="s">
        <v>1418</v>
      </c>
      <c r="B25" s="433"/>
      <c r="C25" s="433"/>
      <c r="D25" s="433"/>
      <c r="E25" s="433"/>
      <c r="F25" s="433"/>
      <c r="G25" s="433"/>
    </row>
    <row r="26" spans="1:7" ht="23.25" customHeight="1">
      <c r="A26" s="433" t="s">
        <v>841</v>
      </c>
      <c r="B26" s="433"/>
      <c r="C26" s="433"/>
      <c r="D26" s="433"/>
      <c r="E26" s="433"/>
      <c r="F26" s="433"/>
      <c r="G26" s="433"/>
    </row>
    <row r="27" spans="1:7" ht="20.25" customHeight="1">
      <c r="A27" s="433" t="s">
        <v>842</v>
      </c>
      <c r="B27" s="433"/>
      <c r="C27" s="433"/>
      <c r="D27" s="433"/>
      <c r="E27" s="433"/>
      <c r="F27" s="433"/>
      <c r="G27" s="433"/>
    </row>
  </sheetData>
  <mergeCells count="4">
    <mergeCell ref="A19:G19"/>
    <mergeCell ref="A3:F3"/>
    <mergeCell ref="A9:E9"/>
    <mergeCell ref="A10:C10"/>
  </mergeCells>
  <phoneticPr fontId="2" type="noConversion"/>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15A3B-836A-4CEE-97AB-1FE1FACA2E74}">
  <dimension ref="A1:L28"/>
  <sheetViews>
    <sheetView workbookViewId="0">
      <selection activeCell="H10" sqref="H10"/>
    </sheetView>
  </sheetViews>
  <sheetFormatPr defaultRowHeight="15.75"/>
  <cols>
    <col min="1" max="1" width="11.85546875" style="20" customWidth="1"/>
    <col min="2" max="2" width="9.140625" style="20"/>
    <col min="3" max="3" width="10.7109375" style="20" customWidth="1"/>
    <col min="4" max="4" width="13.28515625" style="20" bestFit="1" customWidth="1"/>
    <col min="5" max="6" width="9.140625" style="20"/>
    <col min="7" max="7" width="10.7109375" style="20" customWidth="1"/>
    <col min="8" max="16384" width="9.140625" style="20"/>
  </cols>
  <sheetData>
    <row r="1" spans="1:12">
      <c r="A1" s="456" t="s">
        <v>1188</v>
      </c>
      <c r="B1" s="447"/>
      <c r="C1" s="447"/>
      <c r="D1" s="447"/>
      <c r="E1" s="447"/>
      <c r="F1" s="447"/>
      <c r="G1" s="447"/>
    </row>
    <row r="2" spans="1:12">
      <c r="A2" s="944" t="s">
        <v>1253</v>
      </c>
      <c r="B2" s="944"/>
      <c r="C2" s="944"/>
      <c r="D2" s="944"/>
      <c r="E2" s="944"/>
      <c r="F2" s="944"/>
      <c r="G2" s="944"/>
    </row>
    <row r="3" spans="1:12">
      <c r="D3" s="469" t="s">
        <v>1254</v>
      </c>
      <c r="E3" s="469">
        <v>15700</v>
      </c>
    </row>
    <row r="4" spans="1:12" ht="47.25">
      <c r="A4" s="453" t="s">
        <v>1255</v>
      </c>
      <c r="B4" s="453" t="s">
        <v>1256</v>
      </c>
      <c r="C4" s="453" t="s">
        <v>1257</v>
      </c>
      <c r="D4" s="453" t="s">
        <v>1258</v>
      </c>
      <c r="E4" s="453" t="s">
        <v>1259</v>
      </c>
      <c r="F4" s="453" t="s">
        <v>1260</v>
      </c>
      <c r="G4" s="453" t="s">
        <v>1261</v>
      </c>
    </row>
    <row r="5" spans="1:12">
      <c r="A5" s="426" t="s">
        <v>1266</v>
      </c>
      <c r="B5" s="426" t="s">
        <v>1139</v>
      </c>
      <c r="C5" s="466">
        <f t="shared" ref="C5:C11" si="0">VLOOKUP(B5,$A$14:$C$17,2,0)</f>
        <v>200</v>
      </c>
      <c r="D5" s="77">
        <v>1900</v>
      </c>
      <c r="E5" s="466">
        <f t="shared" ref="E5:E11" si="1">VLOOKUP(B5,$A$14:$C$17, 3,0)</f>
        <v>3</v>
      </c>
      <c r="F5" s="466">
        <f>IF(D5&gt;C5,(D5-C5)*20%*E5,0)</f>
        <v>1020</v>
      </c>
      <c r="G5" s="466">
        <f t="shared" ref="G5:G11" si="2">(E5+F5)*15700</f>
        <v>16061100</v>
      </c>
    </row>
    <row r="6" spans="1:12">
      <c r="A6" s="426" t="s">
        <v>1265</v>
      </c>
      <c r="B6" s="426" t="s">
        <v>1140</v>
      </c>
      <c r="C6" s="466">
        <f t="shared" si="0"/>
        <v>400</v>
      </c>
      <c r="D6" s="77">
        <v>1580</v>
      </c>
      <c r="E6" s="466">
        <f t="shared" si="1"/>
        <v>2</v>
      </c>
      <c r="F6" s="466">
        <f t="shared" ref="F6:F11" si="3">IF(D6&gt;C6,(D6-C6)*20%*E6,0)</f>
        <v>472</v>
      </c>
      <c r="G6" s="466">
        <f t="shared" si="2"/>
        <v>7441800</v>
      </c>
    </row>
    <row r="7" spans="1:12">
      <c r="A7" s="426" t="s">
        <v>1268</v>
      </c>
      <c r="B7" s="426" t="s">
        <v>1139</v>
      </c>
      <c r="C7" s="466">
        <f t="shared" si="0"/>
        <v>200</v>
      </c>
      <c r="D7" s="77">
        <v>800</v>
      </c>
      <c r="E7" s="466">
        <f t="shared" si="1"/>
        <v>3</v>
      </c>
      <c r="F7" s="466">
        <f t="shared" si="3"/>
        <v>360</v>
      </c>
      <c r="G7" s="466">
        <f t="shared" si="2"/>
        <v>5699100</v>
      </c>
    </row>
    <row r="8" spans="1:12">
      <c r="A8" s="426" t="s">
        <v>1264</v>
      </c>
      <c r="B8" s="426" t="s">
        <v>1140</v>
      </c>
      <c r="C8" s="466">
        <f t="shared" si="0"/>
        <v>400</v>
      </c>
      <c r="D8" s="77">
        <v>1000</v>
      </c>
      <c r="E8" s="466">
        <f t="shared" si="1"/>
        <v>2</v>
      </c>
      <c r="F8" s="466">
        <f t="shared" si="3"/>
        <v>240</v>
      </c>
      <c r="G8" s="466">
        <f t="shared" si="2"/>
        <v>3799400</v>
      </c>
    </row>
    <row r="9" spans="1:12">
      <c r="A9" s="426" t="s">
        <v>1262</v>
      </c>
      <c r="B9" s="426" t="s">
        <v>1139</v>
      </c>
      <c r="C9" s="466">
        <f t="shared" si="0"/>
        <v>200</v>
      </c>
      <c r="D9" s="77">
        <v>500</v>
      </c>
      <c r="E9" s="466">
        <f t="shared" si="1"/>
        <v>3</v>
      </c>
      <c r="F9" s="466">
        <f t="shared" si="3"/>
        <v>180</v>
      </c>
      <c r="G9" s="466">
        <f t="shared" si="2"/>
        <v>2873100</v>
      </c>
    </row>
    <row r="10" spans="1:12">
      <c r="A10" s="426" t="s">
        <v>1263</v>
      </c>
      <c r="B10" s="426" t="s">
        <v>1141</v>
      </c>
      <c r="C10" s="466">
        <f t="shared" si="0"/>
        <v>600</v>
      </c>
      <c r="D10" s="77">
        <v>350</v>
      </c>
      <c r="E10" s="466">
        <f t="shared" si="1"/>
        <v>1</v>
      </c>
      <c r="F10" s="466">
        <f t="shared" si="3"/>
        <v>0</v>
      </c>
      <c r="G10" s="466">
        <f t="shared" si="2"/>
        <v>15700</v>
      </c>
    </row>
    <row r="11" spans="1:12">
      <c r="A11" s="426" t="s">
        <v>1267</v>
      </c>
      <c r="B11" s="426" t="s">
        <v>1141</v>
      </c>
      <c r="C11" s="466">
        <f t="shared" si="0"/>
        <v>600</v>
      </c>
      <c r="D11" s="77">
        <v>70</v>
      </c>
      <c r="E11" s="466">
        <f t="shared" si="1"/>
        <v>1</v>
      </c>
      <c r="F11" s="466">
        <f t="shared" si="3"/>
        <v>0</v>
      </c>
      <c r="G11" s="466">
        <f t="shared" si="2"/>
        <v>15700</v>
      </c>
    </row>
    <row r="12" spans="1:12" ht="31.5" customHeight="1">
      <c r="A12" s="965" t="s">
        <v>1269</v>
      </c>
      <c r="B12" s="965"/>
      <c r="C12" s="965"/>
    </row>
    <row r="13" spans="1:12" ht="31.5">
      <c r="A13" s="453" t="s">
        <v>1256</v>
      </c>
      <c r="B13" s="453" t="s">
        <v>1257</v>
      </c>
      <c r="C13" s="453" t="s">
        <v>1259</v>
      </c>
    </row>
    <row r="14" spans="1:12">
      <c r="A14" s="76" t="s">
        <v>1139</v>
      </c>
      <c r="B14" s="76">
        <v>200</v>
      </c>
      <c r="C14" s="76">
        <v>3</v>
      </c>
    </row>
    <row r="15" spans="1:12">
      <c r="A15" s="76" t="s">
        <v>1140</v>
      </c>
      <c r="B15" s="76">
        <v>400</v>
      </c>
      <c r="C15" s="76">
        <v>2</v>
      </c>
    </row>
    <row r="16" spans="1:12">
      <c r="A16" s="76" t="s">
        <v>1141</v>
      </c>
      <c r="B16" s="76">
        <v>600</v>
      </c>
      <c r="C16" s="76">
        <v>1</v>
      </c>
    </row>
    <row r="17" spans="1:8">
      <c r="A17" s="76" t="s">
        <v>1218</v>
      </c>
      <c r="B17" s="76">
        <v>800</v>
      </c>
      <c r="C17" s="76">
        <v>0.5</v>
      </c>
    </row>
    <row r="18" spans="1:8">
      <c r="A18" s="470" t="s">
        <v>1221</v>
      </c>
      <c r="B18" s="452"/>
      <c r="C18" s="452"/>
      <c r="D18" s="452"/>
      <c r="E18" s="452"/>
      <c r="F18" s="452"/>
      <c r="G18" s="452"/>
      <c r="H18" s="452"/>
    </row>
    <row r="19" spans="1:8">
      <c r="A19" s="452" t="s">
        <v>1419</v>
      </c>
      <c r="B19" s="452"/>
      <c r="C19" s="452"/>
      <c r="D19" s="452"/>
      <c r="E19" s="452"/>
      <c r="F19" s="452"/>
      <c r="G19" s="452"/>
      <c r="H19" s="452"/>
    </row>
    <row r="20" spans="1:8">
      <c r="A20" s="452" t="s">
        <v>1420</v>
      </c>
      <c r="B20" s="452"/>
      <c r="C20" s="452"/>
      <c r="D20" s="452"/>
      <c r="E20" s="452"/>
      <c r="F20" s="452"/>
      <c r="G20" s="452"/>
      <c r="H20" s="452"/>
    </row>
    <row r="21" spans="1:8">
      <c r="A21" s="452" t="s">
        <v>1270</v>
      </c>
      <c r="B21" s="452"/>
      <c r="C21" s="452"/>
      <c r="D21" s="452"/>
      <c r="E21" s="452"/>
      <c r="F21" s="452"/>
      <c r="G21" s="452"/>
      <c r="H21" s="452"/>
    </row>
    <row r="22" spans="1:8">
      <c r="A22" s="452"/>
      <c r="B22" s="471" t="s">
        <v>1271</v>
      </c>
      <c r="C22" s="452"/>
      <c r="D22" s="452"/>
      <c r="E22" s="452"/>
      <c r="F22" s="452"/>
      <c r="G22" s="452"/>
      <c r="H22" s="452"/>
    </row>
    <row r="23" spans="1:8">
      <c r="A23" s="452"/>
      <c r="B23" s="452" t="s">
        <v>1272</v>
      </c>
      <c r="C23" s="452"/>
      <c r="D23" s="452"/>
      <c r="E23" s="452"/>
      <c r="F23" s="452"/>
      <c r="G23" s="452"/>
      <c r="H23" s="452"/>
    </row>
    <row r="24" spans="1:8">
      <c r="A24" s="452"/>
      <c r="B24" s="471" t="s">
        <v>1273</v>
      </c>
      <c r="C24" s="452"/>
      <c r="D24" s="452"/>
      <c r="E24" s="452"/>
      <c r="F24" s="452"/>
      <c r="G24" s="452"/>
      <c r="H24" s="452"/>
    </row>
    <row r="25" spans="1:8">
      <c r="A25" s="452" t="s">
        <v>1274</v>
      </c>
      <c r="B25" s="452"/>
      <c r="C25" s="452"/>
      <c r="D25" s="452"/>
      <c r="E25" s="452"/>
      <c r="F25" s="452"/>
      <c r="G25" s="452"/>
      <c r="H25" s="452"/>
    </row>
    <row r="26" spans="1:8">
      <c r="A26" s="452"/>
      <c r="B26" s="452" t="s">
        <v>1275</v>
      </c>
      <c r="C26" s="452"/>
      <c r="D26" s="452"/>
      <c r="E26" s="452"/>
      <c r="F26" s="452"/>
      <c r="G26" s="452"/>
      <c r="H26" s="452"/>
    </row>
    <row r="27" spans="1:8">
      <c r="A27" s="452" t="s">
        <v>1276</v>
      </c>
      <c r="B27" s="452"/>
      <c r="C27" s="452"/>
      <c r="D27" s="452"/>
      <c r="E27" s="452"/>
      <c r="F27" s="452"/>
      <c r="G27" s="452"/>
      <c r="H27" s="452"/>
    </row>
    <row r="28" spans="1:8">
      <c r="A28" s="452" t="s">
        <v>843</v>
      </c>
      <c r="B28" s="452"/>
      <c r="C28" s="452"/>
      <c r="D28" s="452"/>
      <c r="E28" s="452"/>
      <c r="F28" s="452"/>
      <c r="G28" s="452"/>
      <c r="H28" s="452"/>
    </row>
  </sheetData>
  <mergeCells count="2">
    <mergeCell ref="A2:G2"/>
    <mergeCell ref="A12:C12"/>
  </mergeCells>
  <phoneticPr fontId="0" type="noConversion"/>
  <pageMargins left="0.75" right="0.75" top="1" bottom="1" header="0.5" footer="0.5"/>
  <pageSetup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D219-459A-432E-AC20-96A5B5309852}">
  <dimension ref="A1:J21"/>
  <sheetViews>
    <sheetView zoomScaleNormal="100" workbookViewId="0">
      <selection activeCell="L13" sqref="L13"/>
    </sheetView>
  </sheetViews>
  <sheetFormatPr defaultRowHeight="15.75"/>
  <cols>
    <col min="1" max="1" width="9.140625" style="145"/>
    <col min="2" max="2" width="15.85546875" style="145" customWidth="1"/>
    <col min="3" max="3" width="11.140625" style="145" customWidth="1"/>
    <col min="4" max="4" width="11.28515625" style="145" customWidth="1"/>
    <col min="5" max="5" width="9.140625" style="145"/>
    <col min="6" max="6" width="7.85546875" style="145" customWidth="1"/>
    <col min="7" max="7" width="9" style="145" customWidth="1"/>
    <col min="8" max="11" width="9.140625" style="145"/>
    <col min="12" max="12" width="15.28515625" style="145" customWidth="1"/>
    <col min="13" max="16384" width="9.140625" style="145"/>
  </cols>
  <sheetData>
    <row r="1" spans="1:10">
      <c r="A1" s="584" t="s">
        <v>1328</v>
      </c>
      <c r="B1" s="204"/>
      <c r="C1" s="204"/>
      <c r="D1" s="204"/>
      <c r="E1" s="916"/>
      <c r="F1" s="204"/>
      <c r="G1" s="204"/>
      <c r="H1" s="204"/>
    </row>
    <row r="2" spans="1:10">
      <c r="A2" s="145" t="s">
        <v>979</v>
      </c>
    </row>
    <row r="3" spans="1:10" ht="21" thickBot="1">
      <c r="A3" s="966" t="s">
        <v>1154</v>
      </c>
      <c r="B3" s="966"/>
      <c r="C3" s="966"/>
      <c r="D3" s="966"/>
      <c r="E3" s="966"/>
      <c r="F3" s="966"/>
      <c r="G3" s="966"/>
      <c r="H3" s="966"/>
      <c r="I3" s="966"/>
      <c r="J3" s="966"/>
    </row>
    <row r="4" spans="1:10" ht="53.25" customHeight="1" thickTop="1" thickBot="1">
      <c r="A4" s="78" t="s">
        <v>1120</v>
      </c>
      <c r="B4" s="553" t="s">
        <v>1121</v>
      </c>
      <c r="C4" s="79" t="s">
        <v>1122</v>
      </c>
      <c r="D4" s="79" t="s">
        <v>1128</v>
      </c>
      <c r="E4" s="553" t="s">
        <v>1123</v>
      </c>
      <c r="F4" s="553" t="s">
        <v>1124</v>
      </c>
      <c r="G4" s="79" t="s">
        <v>1129</v>
      </c>
      <c r="H4" s="79" t="s">
        <v>1125</v>
      </c>
      <c r="I4" s="79" t="s">
        <v>1126</v>
      </c>
      <c r="J4" s="80" t="s">
        <v>1127</v>
      </c>
    </row>
    <row r="5" spans="1:10" ht="16.5" thickTop="1">
      <c r="A5" s="581">
        <v>1</v>
      </c>
      <c r="B5" s="585" t="s">
        <v>1130</v>
      </c>
      <c r="C5" s="585" t="s">
        <v>1134</v>
      </c>
      <c r="D5" s="654" t="str">
        <f>HLOOKUP(LEFT(C5,1),$B$10:$E$11,2,0)</f>
        <v>Tin học</v>
      </c>
      <c r="E5" s="586">
        <v>7</v>
      </c>
      <c r="F5" s="586">
        <v>3</v>
      </c>
      <c r="G5" s="647">
        <f>E5*2+F5</f>
        <v>17</v>
      </c>
      <c r="H5" s="648">
        <f>VLOOKUP(VALUE(RIGHT(C5,1)),$G$11:$H$14,2,0)</f>
        <v>2</v>
      </c>
      <c r="I5" s="648">
        <f xml:space="preserve"> (G5+H5)</f>
        <v>19</v>
      </c>
      <c r="J5" s="649" t="str">
        <f>IF(I5&gt;18,"Đậu","Rớt")</f>
        <v>Đậu</v>
      </c>
    </row>
    <row r="6" spans="1:10">
      <c r="A6" s="582">
        <v>2</v>
      </c>
      <c r="B6" s="383" t="s">
        <v>1131</v>
      </c>
      <c r="C6" s="383" t="s">
        <v>1135</v>
      </c>
      <c r="D6" s="391" t="str">
        <f>HLOOKUP(LEFT(C6,1),$B$10:$E$11,2,0)</f>
        <v>Lý</v>
      </c>
      <c r="E6" s="587">
        <v>4</v>
      </c>
      <c r="F6" s="587">
        <v>7</v>
      </c>
      <c r="G6" s="650">
        <f>E6*2+F6</f>
        <v>15</v>
      </c>
      <c r="H6" s="650">
        <f>VLOOKUP(VALUE(RIGHT(C6,1)),$G$11:$H$14,2,0)</f>
        <v>1</v>
      </c>
      <c r="I6" s="650">
        <f xml:space="preserve"> (G6+H6)</f>
        <v>16</v>
      </c>
      <c r="J6" s="651" t="str">
        <f>IF(I6&gt;18,"Đậu", "Rớt")</f>
        <v>Rớt</v>
      </c>
    </row>
    <row r="7" spans="1:10">
      <c r="A7" s="582">
        <v>3</v>
      </c>
      <c r="B7" s="383" t="s">
        <v>1132</v>
      </c>
      <c r="C7" s="383" t="s">
        <v>1136</v>
      </c>
      <c r="D7" s="391" t="str">
        <f>HLOOKUP(LEFT(C7,1),$B$10:$E$11,2,0)</f>
        <v>Hóa</v>
      </c>
      <c r="E7" s="587">
        <v>7</v>
      </c>
      <c r="F7" s="587">
        <v>6</v>
      </c>
      <c r="G7" s="650">
        <f>E7*2+F7</f>
        <v>20</v>
      </c>
      <c r="H7" s="650">
        <f>VLOOKUP(VALUE(RIGHT(C7,1)),$G$11:$H$14,2,0)</f>
        <v>1.5</v>
      </c>
      <c r="I7" s="650">
        <f xml:space="preserve"> (G7+H7)</f>
        <v>21.5</v>
      </c>
      <c r="J7" s="651" t="str">
        <f>IF(I7&gt;18,"Đậu", "Rớt")</f>
        <v>Đậu</v>
      </c>
    </row>
    <row r="8" spans="1:10" ht="16.5" thickBot="1">
      <c r="A8" s="583">
        <v>4</v>
      </c>
      <c r="B8" s="588" t="s">
        <v>1133</v>
      </c>
      <c r="C8" s="588" t="s">
        <v>1137</v>
      </c>
      <c r="D8" s="655" t="str">
        <f>HLOOKUP(LEFT(C8,1),$B$10:$E$11,2,0)</f>
        <v>Hóa</v>
      </c>
      <c r="E8" s="589">
        <v>6</v>
      </c>
      <c r="F8" s="589">
        <v>6.5</v>
      </c>
      <c r="G8" s="652">
        <f>E8*2+F8</f>
        <v>18.5</v>
      </c>
      <c r="H8" s="652">
        <f>VLOOKUP(VALUE(RIGHT(C8,1)),$G$11:$H$14,2,0)</f>
        <v>0</v>
      </c>
      <c r="I8" s="652">
        <f xml:space="preserve"> (G8+H8)</f>
        <v>18.5</v>
      </c>
      <c r="J8" s="653" t="str">
        <f>IF(I8&gt;18,"Đậu", "Rớt")</f>
        <v>Đậu</v>
      </c>
    </row>
    <row r="9" spans="1:10" ht="16.5" thickTop="1">
      <c r="G9" s="970" t="s">
        <v>1149</v>
      </c>
      <c r="H9" s="970"/>
    </row>
    <row r="10" spans="1:10" ht="31.5">
      <c r="A10" s="968" t="s">
        <v>1147</v>
      </c>
      <c r="B10" s="591" t="s">
        <v>1138</v>
      </c>
      <c r="C10" s="101" t="s">
        <v>1139</v>
      </c>
      <c r="D10" s="101" t="s">
        <v>1140</v>
      </c>
      <c r="E10" s="101" t="s">
        <v>1141</v>
      </c>
      <c r="G10" s="73" t="s">
        <v>1146</v>
      </c>
      <c r="H10" s="465" t="s">
        <v>1087</v>
      </c>
    </row>
    <row r="11" spans="1:10">
      <c r="A11" s="969"/>
      <c r="B11" s="591" t="s">
        <v>1142</v>
      </c>
      <c r="C11" s="101" t="s">
        <v>1143</v>
      </c>
      <c r="D11" s="101" t="s">
        <v>1144</v>
      </c>
      <c r="E11" s="101" t="s">
        <v>1145</v>
      </c>
      <c r="G11" s="383">
        <v>1</v>
      </c>
      <c r="H11" s="383">
        <v>2</v>
      </c>
    </row>
    <row r="12" spans="1:10">
      <c r="G12" s="383">
        <v>2</v>
      </c>
      <c r="H12" s="383">
        <v>1.5</v>
      </c>
    </row>
    <row r="13" spans="1:10">
      <c r="G13" s="383">
        <v>3</v>
      </c>
      <c r="H13" s="383">
        <v>1</v>
      </c>
    </row>
    <row r="14" spans="1:10">
      <c r="G14" s="383">
        <v>4</v>
      </c>
      <c r="H14" s="383">
        <v>0</v>
      </c>
    </row>
    <row r="15" spans="1:10">
      <c r="A15" s="590" t="s">
        <v>980</v>
      </c>
      <c r="B15" s="162"/>
      <c r="C15" s="162"/>
      <c r="D15" s="162"/>
      <c r="E15" s="162"/>
      <c r="F15" s="162"/>
      <c r="G15" s="162"/>
      <c r="H15" s="162"/>
    </row>
    <row r="16" spans="1:10" ht="36" customHeight="1">
      <c r="A16" s="967" t="s">
        <v>1152</v>
      </c>
      <c r="B16" s="967"/>
      <c r="C16" s="967"/>
      <c r="D16" s="967"/>
      <c r="E16" s="967"/>
      <c r="F16" s="967"/>
      <c r="G16" s="967"/>
      <c r="H16" s="967"/>
    </row>
    <row r="17" spans="1:8" ht="19.5" customHeight="1">
      <c r="A17" s="162" t="s">
        <v>1148</v>
      </c>
      <c r="B17" s="162"/>
      <c r="C17" s="162"/>
      <c r="D17" s="162"/>
      <c r="E17" s="162"/>
      <c r="F17" s="162"/>
      <c r="G17" s="162"/>
      <c r="H17" s="162"/>
    </row>
    <row r="18" spans="1:8" ht="33.75" customHeight="1">
      <c r="A18" s="967" t="s">
        <v>1153</v>
      </c>
      <c r="B18" s="967"/>
      <c r="C18" s="967"/>
      <c r="D18" s="967"/>
      <c r="E18" s="967"/>
      <c r="F18" s="967"/>
      <c r="G18" s="967"/>
      <c r="H18" s="162"/>
    </row>
    <row r="19" spans="1:8" ht="19.5" customHeight="1">
      <c r="A19" s="162" t="s">
        <v>1150</v>
      </c>
      <c r="B19" s="162"/>
      <c r="C19" s="162"/>
      <c r="D19" s="162"/>
      <c r="E19" s="162"/>
      <c r="F19" s="162"/>
      <c r="G19" s="162"/>
      <c r="H19" s="162"/>
    </row>
    <row r="20" spans="1:8" ht="20.25" customHeight="1">
      <c r="A20" s="162" t="s">
        <v>1151</v>
      </c>
      <c r="B20" s="162"/>
      <c r="C20" s="162"/>
      <c r="D20" s="162"/>
      <c r="E20" s="162"/>
      <c r="F20" s="162"/>
      <c r="G20" s="162"/>
      <c r="H20" s="162"/>
    </row>
    <row r="21" spans="1:8" ht="18.75" customHeight="1">
      <c r="A21" s="162" t="s">
        <v>1327</v>
      </c>
      <c r="B21" s="162"/>
      <c r="C21" s="162"/>
      <c r="D21" s="162"/>
      <c r="E21" s="162"/>
      <c r="F21" s="162"/>
      <c r="G21" s="162"/>
      <c r="H21" s="162"/>
    </row>
  </sheetData>
  <mergeCells count="5">
    <mergeCell ref="A3:J3"/>
    <mergeCell ref="A18:G18"/>
    <mergeCell ref="A16:H16"/>
    <mergeCell ref="A10:A11"/>
    <mergeCell ref="G9:H9"/>
  </mergeCells>
  <phoneticPr fontId="2" type="noConversion"/>
  <pageMargins left="0.75" right="0.75" top="1" bottom="1" header="0.5" footer="0.5"/>
  <pageSetup paperSize="9"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E4E93-FDAB-4EA1-9F0F-71BD28B8C6B3}">
  <dimension ref="A1:H32"/>
  <sheetViews>
    <sheetView workbookViewId="0">
      <selection activeCell="F1" sqref="F1"/>
    </sheetView>
  </sheetViews>
  <sheetFormatPr defaultRowHeight="15.75"/>
  <cols>
    <col min="1" max="1" width="9.42578125" style="2" customWidth="1"/>
    <col min="2" max="2" width="13.42578125" style="2" customWidth="1"/>
    <col min="3" max="3" width="11" style="2" customWidth="1"/>
    <col min="4" max="4" width="13.42578125" style="2" customWidth="1"/>
    <col min="5" max="5" width="11.7109375" style="2" customWidth="1"/>
    <col min="6" max="6" width="14.42578125" style="2" customWidth="1"/>
    <col min="7" max="7" width="11.5703125" style="2" customWidth="1"/>
    <col min="8" max="8" width="13" style="2" customWidth="1"/>
    <col min="9" max="16384" width="9.140625" style="2"/>
  </cols>
  <sheetData>
    <row r="1" spans="1:8">
      <c r="A1" s="8" t="s">
        <v>1330</v>
      </c>
      <c r="F1" s="2" t="s">
        <v>1991</v>
      </c>
    </row>
    <row r="2" spans="1:8">
      <c r="A2" s="3"/>
    </row>
    <row r="3" spans="1:8">
      <c r="A3" s="2" t="s">
        <v>979</v>
      </c>
    </row>
    <row r="4" spans="1:8" ht="21" thickBot="1">
      <c r="A4" s="972" t="s">
        <v>1156</v>
      </c>
      <c r="B4" s="972"/>
      <c r="C4" s="972"/>
      <c r="D4" s="972"/>
      <c r="E4" s="972"/>
      <c r="F4" s="972"/>
      <c r="G4" s="972"/>
    </row>
    <row r="5" spans="1:8" ht="48" thickTop="1">
      <c r="A5" s="43" t="s">
        <v>1157</v>
      </c>
      <c r="B5" s="44" t="s">
        <v>1158</v>
      </c>
      <c r="C5" s="44" t="s">
        <v>1098</v>
      </c>
      <c r="D5" s="44" t="s">
        <v>1159</v>
      </c>
      <c r="E5" s="45" t="s">
        <v>1160</v>
      </c>
      <c r="F5" s="45" t="s">
        <v>1099</v>
      </c>
      <c r="G5" s="46" t="s">
        <v>1126</v>
      </c>
    </row>
    <row r="6" spans="1:8">
      <c r="A6" s="60" t="s">
        <v>1161</v>
      </c>
      <c r="B6" s="56" t="str">
        <f>VLOOKUP(LEFT(A6,2), $A$16:$D$22,2,0)</f>
        <v>Đĩa cứng</v>
      </c>
      <c r="C6" s="644">
        <f>VLOOKUP(LEFT(A6,2),$A$16:$D$22,IF(RIGHT(A6,1)="1",3,4),0)</f>
        <v>49</v>
      </c>
      <c r="D6" s="61">
        <v>60</v>
      </c>
      <c r="E6" s="645">
        <f>IF(VALUE(RIGHT(A6,1))=1,1%*C6,5%*C6)</f>
        <v>0.49</v>
      </c>
      <c r="F6" s="644">
        <f>D6*(C6+E6)</f>
        <v>2969.4</v>
      </c>
      <c r="G6" s="646">
        <f>F6-IF(F6&gt;=1000,1%*F6,0)</f>
        <v>2939.7060000000001</v>
      </c>
    </row>
    <row r="7" spans="1:8">
      <c r="A7" s="60" t="s">
        <v>1162</v>
      </c>
      <c r="B7" s="56" t="str">
        <f t="shared" ref="B7:B13" si="0">VLOOKUP(LEFT(A7,2), $A$16:$D$22,2,0)</f>
        <v>Đĩa mềm</v>
      </c>
      <c r="C7" s="644">
        <f t="shared" ref="C7:C13" si="1">VLOOKUP(LEFT(A7,2),$A$16:$D$22,IF(RIGHT(A7,1)="1",3,4),0)</f>
        <v>2.5</v>
      </c>
      <c r="D7" s="61">
        <v>70</v>
      </c>
      <c r="E7" s="645">
        <f t="shared" ref="E7:E13" si="2">IF(VALUE(RIGHT(A7,1))=1,1%*C7,5%*C7)</f>
        <v>2.5000000000000001E-2</v>
      </c>
      <c r="F7" s="644">
        <f t="shared" ref="F7:F13" si="3">D7*(C7+E7)</f>
        <v>176.75</v>
      </c>
      <c r="G7" s="646">
        <f t="shared" ref="G7:G13" si="4">F7-IF(F7&gt;=1000,1%*F7,0)</f>
        <v>176.75</v>
      </c>
    </row>
    <row r="8" spans="1:8">
      <c r="A8" s="60" t="s">
        <v>1163</v>
      </c>
      <c r="B8" s="56" t="str">
        <f t="shared" si="0"/>
        <v>Mouse</v>
      </c>
      <c r="C8" s="644">
        <f t="shared" si="1"/>
        <v>3</v>
      </c>
      <c r="D8" s="61">
        <v>30</v>
      </c>
      <c r="E8" s="645">
        <f t="shared" si="2"/>
        <v>0.03</v>
      </c>
      <c r="F8" s="644">
        <f t="shared" si="3"/>
        <v>90.899999999999991</v>
      </c>
      <c r="G8" s="646">
        <f t="shared" si="4"/>
        <v>90.899999999999991</v>
      </c>
    </row>
    <row r="9" spans="1:8">
      <c r="A9" s="60" t="s">
        <v>1164</v>
      </c>
      <c r="B9" s="56" t="str">
        <f t="shared" si="0"/>
        <v>SD Ram</v>
      </c>
      <c r="C9" s="644">
        <f t="shared" si="1"/>
        <v>13</v>
      </c>
      <c r="D9" s="61">
        <v>120</v>
      </c>
      <c r="E9" s="645">
        <f t="shared" si="2"/>
        <v>0.13</v>
      </c>
      <c r="F9" s="644">
        <f t="shared" si="3"/>
        <v>1575.6000000000001</v>
      </c>
      <c r="G9" s="646">
        <f t="shared" si="4"/>
        <v>1559.8440000000001</v>
      </c>
    </row>
    <row r="10" spans="1:8">
      <c r="A10" s="60" t="s">
        <v>1165</v>
      </c>
      <c r="B10" s="56" t="str">
        <f t="shared" si="0"/>
        <v>DD Ram</v>
      </c>
      <c r="C10" s="644">
        <f t="shared" si="1"/>
        <v>27</v>
      </c>
      <c r="D10" s="61">
        <v>100</v>
      </c>
      <c r="E10" s="645">
        <f t="shared" si="2"/>
        <v>0.27</v>
      </c>
      <c r="F10" s="644">
        <f t="shared" si="3"/>
        <v>2727</v>
      </c>
      <c r="G10" s="646">
        <f t="shared" si="4"/>
        <v>2699.73</v>
      </c>
    </row>
    <row r="11" spans="1:8">
      <c r="A11" s="60" t="s">
        <v>1166</v>
      </c>
      <c r="B11" s="56" t="str">
        <f t="shared" si="0"/>
        <v>Đĩa cứng</v>
      </c>
      <c r="C11" s="644">
        <f t="shared" si="1"/>
        <v>50</v>
      </c>
      <c r="D11" s="61">
        <v>50</v>
      </c>
      <c r="E11" s="645">
        <f t="shared" si="2"/>
        <v>2.5</v>
      </c>
      <c r="F11" s="644">
        <f t="shared" si="3"/>
        <v>2625</v>
      </c>
      <c r="G11" s="646">
        <f t="shared" si="4"/>
        <v>2598.75</v>
      </c>
      <c r="H11" s="17"/>
    </row>
    <row r="12" spans="1:8">
      <c r="A12" s="60" t="s">
        <v>1167</v>
      </c>
      <c r="B12" s="56" t="str">
        <f t="shared" si="0"/>
        <v>Mouse</v>
      </c>
      <c r="C12" s="644">
        <f t="shared" si="1"/>
        <v>3.5</v>
      </c>
      <c r="D12" s="61">
        <v>65</v>
      </c>
      <c r="E12" s="645">
        <f t="shared" si="2"/>
        <v>0.17500000000000002</v>
      </c>
      <c r="F12" s="644">
        <f t="shared" si="3"/>
        <v>238.875</v>
      </c>
      <c r="G12" s="646">
        <f t="shared" si="4"/>
        <v>238.875</v>
      </c>
    </row>
    <row r="13" spans="1:8" ht="16.5" thickBot="1">
      <c r="A13" s="63" t="s">
        <v>1168</v>
      </c>
      <c r="B13" s="56" t="str">
        <f t="shared" si="0"/>
        <v>DD Ram</v>
      </c>
      <c r="C13" s="644">
        <f t="shared" si="1"/>
        <v>30</v>
      </c>
      <c r="D13" s="64">
        <v>20</v>
      </c>
      <c r="E13" s="645">
        <f t="shared" si="2"/>
        <v>1.5</v>
      </c>
      <c r="F13" s="644">
        <f t="shared" si="3"/>
        <v>630</v>
      </c>
      <c r="G13" s="646">
        <f t="shared" si="4"/>
        <v>630</v>
      </c>
    </row>
    <row r="14" spans="1:8" ht="36.75" customHeight="1" thickTop="1">
      <c r="A14" s="973" t="s">
        <v>1187</v>
      </c>
      <c r="B14" s="973"/>
      <c r="C14" s="973"/>
      <c r="D14" s="973"/>
      <c r="E14" s="973"/>
      <c r="F14" s="973"/>
      <c r="G14" s="973"/>
      <c r="H14" s="4" t="s">
        <v>1991</v>
      </c>
    </row>
    <row r="15" spans="1:8" ht="20.25" customHeight="1" thickBot="1">
      <c r="A15" s="982" t="s">
        <v>1098</v>
      </c>
      <c r="B15" s="982"/>
      <c r="C15" s="982"/>
      <c r="D15" s="982"/>
    </row>
    <row r="16" spans="1:8" ht="16.5" thickTop="1">
      <c r="A16" s="974" t="s">
        <v>1157</v>
      </c>
      <c r="B16" s="976" t="s">
        <v>1158</v>
      </c>
      <c r="C16" s="977" t="s">
        <v>1098</v>
      </c>
      <c r="D16" s="978"/>
      <c r="F16" s="979" t="s">
        <v>1185</v>
      </c>
      <c r="G16" s="978"/>
    </row>
    <row r="17" spans="1:7">
      <c r="A17" s="975"/>
      <c r="B17" s="917"/>
      <c r="C17" s="71">
        <v>1</v>
      </c>
      <c r="D17" s="72">
        <v>2</v>
      </c>
      <c r="F17" s="980" t="s">
        <v>1186</v>
      </c>
      <c r="G17" s="981"/>
    </row>
    <row r="18" spans="1:7">
      <c r="A18" s="60" t="s">
        <v>1170</v>
      </c>
      <c r="B18" s="61" t="s">
        <v>1174</v>
      </c>
      <c r="C18" s="61">
        <v>49</v>
      </c>
      <c r="D18" s="67">
        <v>50</v>
      </c>
      <c r="F18" s="60" t="s">
        <v>1170</v>
      </c>
      <c r="G18" s="715">
        <f>SUMIF($A$6:$A$13,F18&amp;"*",$D$6:$D$13)</f>
        <v>110</v>
      </c>
    </row>
    <row r="19" spans="1:7">
      <c r="A19" s="60" t="s">
        <v>1169</v>
      </c>
      <c r="B19" s="61" t="s">
        <v>1175</v>
      </c>
      <c r="C19" s="61">
        <v>2.5</v>
      </c>
      <c r="D19" s="67">
        <v>3</v>
      </c>
      <c r="F19" s="60" t="s">
        <v>1169</v>
      </c>
      <c r="G19" s="715">
        <f>SUMIF($A$6:$A$13,F19&amp;"*",$D$6:$D$13)</f>
        <v>70</v>
      </c>
    </row>
    <row r="20" spans="1:7">
      <c r="A20" s="60" t="s">
        <v>1171</v>
      </c>
      <c r="B20" s="61" t="s">
        <v>1176</v>
      </c>
      <c r="C20" s="61">
        <v>3</v>
      </c>
      <c r="D20" s="67">
        <v>3.5</v>
      </c>
      <c r="F20" s="60" t="s">
        <v>1171</v>
      </c>
      <c r="G20" s="715">
        <f>SUMIF($A$6:$A$13,F20&amp;"*",$D$6:$D$13)</f>
        <v>95</v>
      </c>
    </row>
    <row r="21" spans="1:7">
      <c r="A21" s="60" t="s">
        <v>1172</v>
      </c>
      <c r="B21" s="61" t="s">
        <v>1177</v>
      </c>
      <c r="C21" s="61">
        <v>13</v>
      </c>
      <c r="D21" s="67">
        <v>15</v>
      </c>
      <c r="F21" s="60" t="s">
        <v>1172</v>
      </c>
      <c r="G21" s="715">
        <f>SUMIF($A$6:$A$13,F21&amp;"*",$D$6:$D$13)</f>
        <v>120</v>
      </c>
    </row>
    <row r="22" spans="1:7" ht="16.5" thickBot="1">
      <c r="A22" s="63" t="s">
        <v>1173</v>
      </c>
      <c r="B22" s="64" t="s">
        <v>1178</v>
      </c>
      <c r="C22" s="64">
        <v>27</v>
      </c>
      <c r="D22" s="68">
        <v>30</v>
      </c>
      <c r="F22" s="63" t="s">
        <v>1173</v>
      </c>
      <c r="G22" s="716">
        <f>SUMIF($A$6:$A$13,F22&amp;"*",$D$6:$D$13)</f>
        <v>120</v>
      </c>
    </row>
    <row r="23" spans="1:7" ht="16.5" thickTop="1"/>
    <row r="24" spans="1:7">
      <c r="A24" s="100" t="s">
        <v>980</v>
      </c>
      <c r="B24" s="38"/>
      <c r="C24" s="38"/>
      <c r="D24" s="38"/>
      <c r="E24" s="38"/>
      <c r="F24" s="38"/>
      <c r="G24" s="38"/>
    </row>
    <row r="25" spans="1:7" ht="16.5" customHeight="1">
      <c r="A25" s="38" t="s">
        <v>1179</v>
      </c>
      <c r="B25" s="38"/>
      <c r="C25" s="38"/>
      <c r="D25" s="38"/>
      <c r="E25" s="38"/>
      <c r="F25" s="38"/>
      <c r="G25" s="38"/>
    </row>
    <row r="26" spans="1:7" ht="20.25" customHeight="1">
      <c r="A26" s="38" t="s">
        <v>1180</v>
      </c>
      <c r="B26" s="38"/>
      <c r="C26" s="38"/>
      <c r="D26" s="38"/>
      <c r="E26" s="38"/>
      <c r="F26" s="38"/>
      <c r="G26" s="38"/>
    </row>
    <row r="27" spans="1:7" ht="21" customHeight="1">
      <c r="A27" s="38" t="s">
        <v>1181</v>
      </c>
      <c r="B27" s="38"/>
      <c r="C27" s="38"/>
      <c r="D27" s="38"/>
      <c r="E27" s="38"/>
      <c r="F27" s="38"/>
      <c r="G27" s="38"/>
    </row>
    <row r="28" spans="1:7">
      <c r="A28" s="39" t="s">
        <v>1182</v>
      </c>
      <c r="B28" s="38"/>
      <c r="C28" s="38"/>
      <c r="D28" s="38"/>
      <c r="E28" s="38"/>
      <c r="F28" s="38"/>
      <c r="G28" s="38"/>
    </row>
    <row r="29" spans="1:7" ht="21.75" customHeight="1">
      <c r="A29" s="38" t="s">
        <v>1183</v>
      </c>
      <c r="B29" s="38"/>
      <c r="C29" s="38"/>
      <c r="D29" s="38"/>
      <c r="E29" s="38"/>
      <c r="F29" s="38"/>
      <c r="G29" s="38"/>
    </row>
    <row r="30" spans="1:7" ht="35.25" customHeight="1">
      <c r="A30" s="971" t="s">
        <v>1184</v>
      </c>
      <c r="B30" s="971"/>
      <c r="C30" s="971"/>
      <c r="D30" s="971"/>
      <c r="E30" s="971"/>
      <c r="F30" s="971"/>
      <c r="G30" s="971"/>
    </row>
    <row r="31" spans="1:7" ht="19.5" customHeight="1">
      <c r="A31" s="38" t="s">
        <v>45</v>
      </c>
      <c r="B31" s="38"/>
      <c r="C31" s="38"/>
      <c r="D31" s="38"/>
      <c r="E31" s="38"/>
      <c r="F31" s="38"/>
      <c r="G31" s="38"/>
    </row>
    <row r="32" spans="1:7" ht="20.25" customHeight="1">
      <c r="A32" s="38" t="s">
        <v>1329</v>
      </c>
      <c r="B32" s="38"/>
      <c r="C32" s="38"/>
      <c r="D32" s="38"/>
      <c r="E32" s="38"/>
      <c r="F32" s="38"/>
      <c r="G32" s="38"/>
    </row>
  </sheetData>
  <mergeCells count="9">
    <mergeCell ref="A30:G30"/>
    <mergeCell ref="A4:G4"/>
    <mergeCell ref="A14:G14"/>
    <mergeCell ref="A16:A17"/>
    <mergeCell ref="B16:B17"/>
    <mergeCell ref="C16:D16"/>
    <mergeCell ref="F16:G16"/>
    <mergeCell ref="F17:G17"/>
    <mergeCell ref="A15:D15"/>
  </mergeCells>
  <phoneticPr fontId="2" type="noConversion"/>
  <pageMargins left="0.75" right="0.25" top="0.5" bottom="0.5" header="0.5" footer="0.5"/>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DA821-3A6F-43F2-BB4A-FA706E4F14AF}">
  <dimension ref="A1:I23"/>
  <sheetViews>
    <sheetView workbookViewId="0">
      <selection activeCell="H1" sqref="H1"/>
    </sheetView>
  </sheetViews>
  <sheetFormatPr defaultRowHeight="15.75"/>
  <cols>
    <col min="1" max="1" width="10.5703125" style="511" customWidth="1"/>
    <col min="2" max="2" width="13.42578125" style="511" customWidth="1"/>
    <col min="3" max="3" width="12.140625" style="511" customWidth="1"/>
    <col min="4" max="4" width="13.42578125" style="511" customWidth="1"/>
    <col min="5" max="5" width="11.7109375" style="511" customWidth="1"/>
    <col min="6" max="7" width="14.42578125" style="511" customWidth="1"/>
    <col min="8" max="8" width="11.5703125" style="511" customWidth="1"/>
    <col min="9" max="16384" width="9.140625" style="511"/>
  </cols>
  <sheetData>
    <row r="1" spans="1:9">
      <c r="A1" s="510" t="s">
        <v>1331</v>
      </c>
      <c r="H1" s="886" t="s">
        <v>1991</v>
      </c>
      <c r="I1" s="145"/>
    </row>
    <row r="2" spans="1:9">
      <c r="A2" s="512"/>
    </row>
    <row r="3" spans="1:9">
      <c r="A3" s="511" t="s">
        <v>979</v>
      </c>
    </row>
    <row r="4" spans="1:9" ht="16.5" thickBot="1">
      <c r="A4" s="983" t="s">
        <v>1208</v>
      </c>
      <c r="B4" s="983"/>
      <c r="C4" s="983"/>
      <c r="D4" s="983"/>
      <c r="E4" s="983"/>
      <c r="F4" s="983"/>
      <c r="G4" s="983"/>
      <c r="H4" s="983"/>
    </row>
    <row r="5" spans="1:9" ht="16.5" thickTop="1">
      <c r="A5" s="513" t="s">
        <v>1189</v>
      </c>
      <c r="B5" s="514" t="s">
        <v>1190</v>
      </c>
      <c r="C5" s="514" t="s">
        <v>1191</v>
      </c>
      <c r="D5" s="514" t="s">
        <v>1199</v>
      </c>
      <c r="E5" s="515" t="s">
        <v>1192</v>
      </c>
      <c r="F5" s="515" t="s">
        <v>1193</v>
      </c>
      <c r="G5" s="516" t="s">
        <v>1098</v>
      </c>
      <c r="H5" s="517" t="s">
        <v>1194</v>
      </c>
    </row>
    <row r="6" spans="1:9">
      <c r="A6" s="518">
        <v>39003</v>
      </c>
      <c r="B6" s="519">
        <v>0.54230324074074077</v>
      </c>
      <c r="C6" s="519">
        <v>0.54370370370370369</v>
      </c>
      <c r="D6" s="520">
        <f>HOUR(C6-B6)</f>
        <v>0</v>
      </c>
      <c r="E6" s="521">
        <f>MINUTE(C6-B6)+SECOND(C6-B6)/60</f>
        <v>2.0166666666666666</v>
      </c>
      <c r="F6" s="522" t="s">
        <v>1202</v>
      </c>
      <c r="G6" s="523">
        <f>VLOOKUP(F6,$A$13:$B$16,2,0)</f>
        <v>1000</v>
      </c>
      <c r="H6" s="524">
        <f>E6*G6</f>
        <v>2016.6666666666665</v>
      </c>
    </row>
    <row r="7" spans="1:9">
      <c r="A7" s="518">
        <v>39007</v>
      </c>
      <c r="B7" s="519">
        <v>0.84571759259259249</v>
      </c>
      <c r="C7" s="519">
        <v>0.84653935185185192</v>
      </c>
      <c r="D7" s="520">
        <f>HOUR(C7-B7)</f>
        <v>0</v>
      </c>
      <c r="E7" s="521">
        <f>MINUTE(C7-B7)+SECOND(C7-B7)/60</f>
        <v>1.1833333333333333</v>
      </c>
      <c r="F7" s="522" t="s">
        <v>1195</v>
      </c>
      <c r="G7" s="523">
        <f>VLOOKUP(F7,$A$13:$B$16,2,0)</f>
        <v>1100</v>
      </c>
      <c r="H7" s="524">
        <f>E7*G7</f>
        <v>1301.6666666666667</v>
      </c>
    </row>
    <row r="8" spans="1:9">
      <c r="A8" s="525">
        <v>39008</v>
      </c>
      <c r="B8" s="526">
        <v>0.3439814814814815</v>
      </c>
      <c r="C8" s="526">
        <v>0.35289351851851852</v>
      </c>
      <c r="D8" s="520">
        <f>HOUR(C8-B8)</f>
        <v>0</v>
      </c>
      <c r="E8" s="521">
        <f>MINUTE(C8-B8)+SECOND(C8-B8)/60</f>
        <v>12.833333333333334</v>
      </c>
      <c r="F8" s="527" t="s">
        <v>1202</v>
      </c>
      <c r="G8" s="523">
        <f>VLOOKUP(F8,$A$13:$B$16,2,0)</f>
        <v>1000</v>
      </c>
      <c r="H8" s="524">
        <f>E8*G8</f>
        <v>12833.333333333334</v>
      </c>
    </row>
    <row r="9" spans="1:9" ht="16.5" thickBot="1">
      <c r="A9" s="528">
        <v>39009</v>
      </c>
      <c r="B9" s="529">
        <v>0.59603009259259265</v>
      </c>
      <c r="C9" s="529">
        <v>0.59752314814814811</v>
      </c>
      <c r="D9" s="520">
        <f>HOUR(C9-B9)</f>
        <v>0</v>
      </c>
      <c r="E9" s="521">
        <f>MINUTE(C9-B9)+SECOND(C9-B9)/60</f>
        <v>2.15</v>
      </c>
      <c r="F9" s="530" t="s">
        <v>1196</v>
      </c>
      <c r="G9" s="523">
        <f>VLOOKUP(F9,$A$13:$B$16,2,0)</f>
        <v>1100</v>
      </c>
      <c r="H9" s="524">
        <f>E9*G9</f>
        <v>2365</v>
      </c>
    </row>
    <row r="10" spans="1:9" ht="17.25" customHeight="1" thickTop="1" thickBot="1">
      <c r="A10" s="984"/>
      <c r="B10" s="984"/>
      <c r="C10" s="984"/>
      <c r="D10" s="984"/>
      <c r="E10" s="984"/>
      <c r="F10" s="984"/>
      <c r="G10" s="984"/>
      <c r="H10" s="984"/>
      <c r="I10" s="531"/>
    </row>
    <row r="11" spans="1:9" ht="20.25" customHeight="1" thickTop="1">
      <c r="A11" s="986" t="s">
        <v>1098</v>
      </c>
      <c r="B11" s="987"/>
      <c r="C11" s="532"/>
      <c r="D11" s="988" t="s">
        <v>1185</v>
      </c>
      <c r="E11" s="989"/>
    </row>
    <row r="12" spans="1:9" ht="20.25" customHeight="1" thickBot="1">
      <c r="A12" s="533" t="s">
        <v>1198</v>
      </c>
      <c r="B12" s="534" t="s">
        <v>1032</v>
      </c>
      <c r="C12" s="532"/>
      <c r="D12" s="990" t="s">
        <v>1205</v>
      </c>
      <c r="E12" s="991"/>
    </row>
    <row r="13" spans="1:9" ht="20.25" customHeight="1" thickTop="1">
      <c r="A13" s="535" t="s">
        <v>1196</v>
      </c>
      <c r="B13" s="536">
        <v>1100</v>
      </c>
      <c r="C13" s="532"/>
      <c r="D13" s="537" t="s">
        <v>1206</v>
      </c>
      <c r="E13" s="538">
        <f>COUNTIF($F$6:$F$9,D13&amp;"*")</f>
        <v>1</v>
      </c>
    </row>
    <row r="14" spans="1:9" ht="20.25" customHeight="1">
      <c r="A14" s="522" t="s">
        <v>1202</v>
      </c>
      <c r="B14" s="522">
        <v>1000</v>
      </c>
      <c r="C14" s="532"/>
      <c r="D14" s="537" t="s">
        <v>1207</v>
      </c>
      <c r="E14" s="538">
        <f>COUNTIF($F$6:$F$9,D14&amp;"*")</f>
        <v>2</v>
      </c>
    </row>
    <row r="15" spans="1:9" ht="20.25" customHeight="1">
      <c r="A15" s="539" t="s">
        <v>1195</v>
      </c>
      <c r="B15" s="522">
        <v>1100</v>
      </c>
      <c r="C15" s="532"/>
      <c r="D15" s="537" t="s">
        <v>1195</v>
      </c>
      <c r="E15" s="538">
        <f>COUNTIF($F$6:$F$9,D15&amp;"*")</f>
        <v>1</v>
      </c>
    </row>
    <row r="16" spans="1:9" ht="20.25" customHeight="1" thickBot="1">
      <c r="A16" s="522" t="s">
        <v>1201</v>
      </c>
      <c r="B16" s="522">
        <v>3250</v>
      </c>
      <c r="C16" s="532"/>
      <c r="D16" s="540" t="s">
        <v>1201</v>
      </c>
      <c r="E16" s="541">
        <f>COUNTIF($F$6:$F$9,D16&amp;"*")</f>
        <v>0</v>
      </c>
    </row>
    <row r="17" spans="1:8" ht="16.5" thickTop="1">
      <c r="A17" s="549" t="s">
        <v>980</v>
      </c>
      <c r="B17" s="550"/>
      <c r="C17" s="550"/>
      <c r="D17" s="551"/>
      <c r="E17" s="552"/>
      <c r="F17" s="550"/>
      <c r="G17" s="550"/>
      <c r="H17" s="550"/>
    </row>
    <row r="18" spans="1:8" ht="19.5" customHeight="1">
      <c r="A18" s="550" t="s">
        <v>1197</v>
      </c>
      <c r="B18" s="550"/>
      <c r="C18" s="550"/>
      <c r="D18" s="550"/>
      <c r="E18" s="550"/>
      <c r="F18" s="550"/>
      <c r="G18" s="550"/>
      <c r="H18" s="550"/>
    </row>
    <row r="19" spans="1:8" ht="36.75" customHeight="1">
      <c r="A19" s="985" t="s">
        <v>1200</v>
      </c>
      <c r="B19" s="985"/>
      <c r="C19" s="985"/>
      <c r="D19" s="985"/>
      <c r="E19" s="985"/>
      <c r="F19" s="985"/>
      <c r="G19" s="985"/>
      <c r="H19" s="985"/>
    </row>
    <row r="20" spans="1:8" ht="20.25" customHeight="1">
      <c r="A20" s="550" t="s">
        <v>1203</v>
      </c>
      <c r="B20" s="550"/>
      <c r="C20" s="550"/>
      <c r="D20" s="550"/>
      <c r="E20" s="550"/>
      <c r="F20" s="550"/>
      <c r="G20" s="550"/>
      <c r="H20" s="550"/>
    </row>
    <row r="21" spans="1:8" ht="19.5" customHeight="1">
      <c r="A21" s="550" t="s">
        <v>1204</v>
      </c>
      <c r="B21" s="550"/>
      <c r="C21" s="550"/>
      <c r="D21" s="550"/>
      <c r="E21" s="550"/>
      <c r="F21" s="550"/>
      <c r="G21" s="550"/>
      <c r="H21" s="550"/>
    </row>
    <row r="22" spans="1:8" ht="19.5" customHeight="1">
      <c r="A22" s="550" t="s">
        <v>46</v>
      </c>
      <c r="B22" s="550"/>
      <c r="C22" s="550"/>
      <c r="D22" s="550"/>
      <c r="E22" s="550"/>
      <c r="F22" s="550"/>
      <c r="G22" s="550"/>
      <c r="H22" s="550"/>
    </row>
    <row r="23" spans="1:8" ht="20.25" customHeight="1">
      <c r="A23" s="550" t="s">
        <v>850</v>
      </c>
      <c r="B23" s="550"/>
      <c r="C23" s="550"/>
      <c r="D23" s="550"/>
      <c r="E23" s="550"/>
      <c r="F23" s="550"/>
      <c r="G23" s="550"/>
      <c r="H23" s="550"/>
    </row>
  </sheetData>
  <mergeCells count="6">
    <mergeCell ref="A4:H4"/>
    <mergeCell ref="A10:H10"/>
    <mergeCell ref="A19:H19"/>
    <mergeCell ref="A11:B11"/>
    <mergeCell ref="D11:E11"/>
    <mergeCell ref="D12:E12"/>
  </mergeCells>
  <phoneticPr fontId="2" type="noConversion"/>
  <pageMargins left="0.75" right="0.75" top="1" bottom="1" header="0.5" footer="0.5"/>
  <pageSetup paperSize="9"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C4892-050E-4A9A-931F-C0E0E89B133B}">
  <dimension ref="A1:P49"/>
  <sheetViews>
    <sheetView workbookViewId="0">
      <selection activeCell="I1" sqref="I1"/>
    </sheetView>
  </sheetViews>
  <sheetFormatPr defaultRowHeight="15.75"/>
  <cols>
    <col min="1" max="1" width="8.85546875" style="104" customWidth="1"/>
    <col min="2" max="2" width="10.5703125" style="104" customWidth="1"/>
    <col min="3" max="3" width="10.42578125" style="104" customWidth="1"/>
    <col min="4" max="4" width="10.85546875" style="104" customWidth="1"/>
    <col min="5" max="5" width="9.28515625" style="104" customWidth="1"/>
    <col min="6" max="6" width="10.28515625" style="104" customWidth="1"/>
    <col min="7" max="7" width="5.28515625" style="104" customWidth="1"/>
    <col min="8" max="8" width="7.5703125" style="104" customWidth="1"/>
    <col min="9" max="9" width="8.85546875" style="104" customWidth="1"/>
    <col min="10" max="11" width="9.140625" style="104"/>
    <col min="12" max="12" width="9.5703125" style="104" customWidth="1"/>
    <col min="13" max="13" width="5.140625" style="104" customWidth="1"/>
    <col min="14" max="15" width="6" style="104" customWidth="1"/>
    <col min="16" max="16" width="5.42578125" style="104" customWidth="1"/>
    <col min="17" max="16384" width="9.140625" style="104"/>
  </cols>
  <sheetData>
    <row r="1" spans="1:16">
      <c r="J1" s="104" t="s">
        <v>1991</v>
      </c>
    </row>
    <row r="2" spans="1:16">
      <c r="A2" s="102" t="s">
        <v>1332</v>
      </c>
      <c r="B2" s="103"/>
      <c r="C2" s="103"/>
      <c r="D2" s="103"/>
      <c r="E2" s="103"/>
      <c r="F2" s="103"/>
      <c r="G2" s="103"/>
      <c r="H2" s="103"/>
      <c r="I2" s="103"/>
      <c r="J2" s="103"/>
      <c r="K2" s="103"/>
      <c r="L2" s="103"/>
      <c r="M2" s="103"/>
      <c r="N2" s="103"/>
      <c r="O2" s="103"/>
      <c r="P2" s="103"/>
    </row>
    <row r="4" spans="1:16" ht="16.5" thickBot="1">
      <c r="A4" s="998" t="s">
        <v>1277</v>
      </c>
      <c r="B4" s="998"/>
      <c r="C4" s="998"/>
      <c r="D4" s="998"/>
      <c r="E4" s="114"/>
      <c r="F4" s="1000" t="s">
        <v>1278</v>
      </c>
      <c r="G4" s="1000"/>
      <c r="H4" s="1000"/>
      <c r="I4" s="1000"/>
      <c r="J4" s="1000"/>
      <c r="K4" s="480"/>
      <c r="L4" s="480"/>
      <c r="M4" s="480"/>
      <c r="N4" s="480"/>
      <c r="O4" s="480"/>
      <c r="P4" s="480"/>
    </row>
    <row r="5" spans="1:16" ht="34.5" customHeight="1" thickTop="1">
      <c r="A5" s="105" t="s">
        <v>1279</v>
      </c>
      <c r="B5" s="106" t="s">
        <v>1280</v>
      </c>
      <c r="C5" s="106" t="s">
        <v>1281</v>
      </c>
      <c r="D5" s="107" t="s">
        <v>1282</v>
      </c>
      <c r="F5" s="105" t="s">
        <v>1138</v>
      </c>
      <c r="G5" s="481" t="s">
        <v>1139</v>
      </c>
      <c r="H5" s="481" t="s">
        <v>1140</v>
      </c>
      <c r="I5" s="481" t="s">
        <v>1141</v>
      </c>
      <c r="J5" s="482" t="s">
        <v>1218</v>
      </c>
    </row>
    <row r="6" spans="1:16" ht="16.5" thickBot="1">
      <c r="A6" s="483" t="s">
        <v>1139</v>
      </c>
      <c r="B6" s="484" t="s">
        <v>1283</v>
      </c>
      <c r="C6" s="484">
        <v>19</v>
      </c>
      <c r="D6" s="485">
        <v>20</v>
      </c>
      <c r="F6" s="479" t="s">
        <v>1284</v>
      </c>
      <c r="G6" s="486">
        <v>25</v>
      </c>
      <c r="H6" s="486">
        <v>23</v>
      </c>
      <c r="I6" s="486">
        <v>21</v>
      </c>
      <c r="J6" s="487">
        <v>19</v>
      </c>
    </row>
    <row r="7" spans="1:16" ht="16.5" thickTop="1">
      <c r="A7" s="483" t="s">
        <v>1140</v>
      </c>
      <c r="B7" s="484" t="s">
        <v>1285</v>
      </c>
      <c r="C7" s="484">
        <v>17</v>
      </c>
      <c r="D7" s="485">
        <v>18</v>
      </c>
    </row>
    <row r="8" spans="1:16">
      <c r="A8" s="483" t="s">
        <v>1141</v>
      </c>
      <c r="B8" s="484" t="s">
        <v>1286</v>
      </c>
      <c r="C8" s="484">
        <v>15</v>
      </c>
      <c r="D8" s="485">
        <v>16</v>
      </c>
    </row>
    <row r="9" spans="1:16" ht="16.5" thickBot="1">
      <c r="A9" s="488" t="s">
        <v>1218</v>
      </c>
      <c r="B9" s="486" t="s">
        <v>1145</v>
      </c>
      <c r="C9" s="486">
        <v>13</v>
      </c>
      <c r="D9" s="487">
        <v>14</v>
      </c>
    </row>
    <row r="10" spans="1:16" ht="24.75" customHeight="1" thickTop="1">
      <c r="A10" s="999" t="s">
        <v>1287</v>
      </c>
      <c r="B10" s="999"/>
      <c r="C10" s="999"/>
      <c r="D10" s="999"/>
      <c r="E10" s="999"/>
      <c r="F10" s="999"/>
      <c r="G10" s="999"/>
      <c r="H10" s="999"/>
      <c r="I10" s="999"/>
      <c r="J10" s="999"/>
      <c r="K10" s="999"/>
      <c r="L10" s="999"/>
      <c r="M10" s="999"/>
      <c r="N10" s="999"/>
      <c r="O10" s="999"/>
    </row>
    <row r="11" spans="1:16" ht="37.5" customHeight="1">
      <c r="A11" s="592" t="s">
        <v>1288</v>
      </c>
      <c r="B11" s="593" t="s">
        <v>1289</v>
      </c>
      <c r="C11" s="593" t="s">
        <v>1290</v>
      </c>
      <c r="D11" s="592" t="s">
        <v>1280</v>
      </c>
      <c r="E11" s="592" t="s">
        <v>1291</v>
      </c>
      <c r="F11" s="592" t="s">
        <v>1292</v>
      </c>
      <c r="G11" s="592" t="s">
        <v>1144</v>
      </c>
      <c r="H11" s="592" t="s">
        <v>1145</v>
      </c>
      <c r="I11" s="592" t="s">
        <v>102</v>
      </c>
      <c r="J11" s="592" t="s">
        <v>103</v>
      </c>
      <c r="K11" s="592" t="s">
        <v>1293</v>
      </c>
      <c r="L11" s="592" t="s">
        <v>1284</v>
      </c>
      <c r="M11" s="592" t="s">
        <v>104</v>
      </c>
    </row>
    <row r="12" spans="1:16">
      <c r="A12" s="484" t="s">
        <v>1299</v>
      </c>
      <c r="B12" s="484" t="s">
        <v>1144</v>
      </c>
      <c r="C12" s="484" t="s">
        <v>1300</v>
      </c>
      <c r="D12" s="489" t="str">
        <f t="shared" ref="D12:D19" si="0">VLOOKUP(LEFT(A12,1),$A$6:$D$9,2,0)</f>
        <v>Cơ khí</v>
      </c>
      <c r="E12" s="489">
        <f t="shared" ref="E12:E19" si="1">VALUE(MID(A12,2,1))</f>
        <v>2</v>
      </c>
      <c r="F12" s="484">
        <v>2</v>
      </c>
      <c r="G12" s="484">
        <v>6</v>
      </c>
      <c r="H12" s="484">
        <v>3</v>
      </c>
      <c r="I12" s="109">
        <f t="shared" ref="I12:I19" si="2">VLOOKUP(LEFT(A12,1),$A$6:$D$9,IF(VALUE(MID(A12,2,1))=1,3,4),0)</f>
        <v>16</v>
      </c>
      <c r="J12" s="109">
        <f t="shared" ref="J12:J19" si="3">(F12+G12+H12)</f>
        <v>11</v>
      </c>
      <c r="K12" s="489" t="str">
        <f t="shared" ref="K12:K19" si="4">IF(J12&gt;=I12,"Đậu","Rớt")</f>
        <v>Rớt</v>
      </c>
      <c r="L12" s="109">
        <f t="shared" ref="L12:L19" si="5">HLOOKUP(LEFT(A12,1),$G$5:$J$6,2,0)</f>
        <v>21</v>
      </c>
      <c r="M12" s="109" t="str">
        <f t="shared" ref="M12:M19" si="6">IF(J12&gt;=L12,"Có"," ")</f>
        <v xml:space="preserve"> </v>
      </c>
    </row>
    <row r="13" spans="1:16">
      <c r="A13" s="484" t="s">
        <v>1310</v>
      </c>
      <c r="B13" s="484" t="s">
        <v>1311</v>
      </c>
      <c r="C13" s="484" t="s">
        <v>1009</v>
      </c>
      <c r="D13" s="489" t="str">
        <f t="shared" si="0"/>
        <v>Máy tính</v>
      </c>
      <c r="E13" s="489">
        <f t="shared" si="1"/>
        <v>2</v>
      </c>
      <c r="F13" s="484">
        <v>4</v>
      </c>
      <c r="G13" s="484">
        <v>3</v>
      </c>
      <c r="H13" s="484">
        <v>5</v>
      </c>
      <c r="I13" s="109">
        <f t="shared" si="2"/>
        <v>20</v>
      </c>
      <c r="J13" s="109">
        <f t="shared" si="3"/>
        <v>12</v>
      </c>
      <c r="K13" s="489" t="str">
        <f t="shared" si="4"/>
        <v>Rớt</v>
      </c>
      <c r="L13" s="109">
        <f t="shared" si="5"/>
        <v>25</v>
      </c>
      <c r="M13" s="109" t="str">
        <f t="shared" si="6"/>
        <v xml:space="preserve"> </v>
      </c>
    </row>
    <row r="14" spans="1:16">
      <c r="A14" s="484" t="s">
        <v>1304</v>
      </c>
      <c r="B14" s="484" t="s">
        <v>998</v>
      </c>
      <c r="C14" s="484" t="s">
        <v>1305</v>
      </c>
      <c r="D14" s="489" t="str">
        <f t="shared" si="0"/>
        <v>Máy tính</v>
      </c>
      <c r="E14" s="489">
        <f t="shared" si="1"/>
        <v>2</v>
      </c>
      <c r="F14" s="484">
        <v>5</v>
      </c>
      <c r="G14" s="484">
        <v>4</v>
      </c>
      <c r="H14" s="484">
        <v>4</v>
      </c>
      <c r="I14" s="109">
        <f t="shared" si="2"/>
        <v>20</v>
      </c>
      <c r="J14" s="109">
        <f t="shared" si="3"/>
        <v>13</v>
      </c>
      <c r="K14" s="489" t="str">
        <f t="shared" si="4"/>
        <v>Rớt</v>
      </c>
      <c r="L14" s="109">
        <f t="shared" si="5"/>
        <v>25</v>
      </c>
      <c r="M14" s="109" t="str">
        <f t="shared" si="6"/>
        <v xml:space="preserve"> </v>
      </c>
    </row>
    <row r="15" spans="1:16">
      <c r="A15" s="484" t="s">
        <v>1294</v>
      </c>
      <c r="B15" s="484" t="s">
        <v>1002</v>
      </c>
      <c r="C15" s="484" t="s">
        <v>1295</v>
      </c>
      <c r="D15" s="489" t="str">
        <f t="shared" si="0"/>
        <v>Máy tính</v>
      </c>
      <c r="E15" s="489">
        <f t="shared" si="1"/>
        <v>1</v>
      </c>
      <c r="F15" s="484">
        <v>5</v>
      </c>
      <c r="G15" s="484">
        <v>8</v>
      </c>
      <c r="H15" s="484">
        <v>7</v>
      </c>
      <c r="I15" s="109">
        <f t="shared" si="2"/>
        <v>19</v>
      </c>
      <c r="J15" s="109">
        <f t="shared" si="3"/>
        <v>20</v>
      </c>
      <c r="K15" s="489" t="str">
        <f t="shared" si="4"/>
        <v>Đậu</v>
      </c>
      <c r="L15" s="109">
        <f t="shared" si="5"/>
        <v>25</v>
      </c>
      <c r="M15" s="109" t="str">
        <f t="shared" si="6"/>
        <v xml:space="preserve"> </v>
      </c>
    </row>
    <row r="16" spans="1:16">
      <c r="A16" s="484" t="s">
        <v>1296</v>
      </c>
      <c r="B16" s="484" t="s">
        <v>1297</v>
      </c>
      <c r="C16" s="484" t="s">
        <v>1298</v>
      </c>
      <c r="D16" s="489" t="str">
        <f t="shared" si="0"/>
        <v>Điện tử</v>
      </c>
      <c r="E16" s="489">
        <f t="shared" si="1"/>
        <v>1</v>
      </c>
      <c r="F16" s="484">
        <v>6</v>
      </c>
      <c r="G16" s="484">
        <v>5</v>
      </c>
      <c r="H16" s="484">
        <v>5</v>
      </c>
      <c r="I16" s="109">
        <f t="shared" si="2"/>
        <v>17</v>
      </c>
      <c r="J16" s="109">
        <f t="shared" si="3"/>
        <v>16</v>
      </c>
      <c r="K16" s="489" t="str">
        <f t="shared" si="4"/>
        <v>Rớt</v>
      </c>
      <c r="L16" s="109">
        <f t="shared" si="5"/>
        <v>23</v>
      </c>
      <c r="M16" s="109" t="str">
        <f t="shared" si="6"/>
        <v xml:space="preserve"> </v>
      </c>
    </row>
    <row r="17" spans="1:15">
      <c r="A17" s="484" t="s">
        <v>1308</v>
      </c>
      <c r="B17" s="484" t="s">
        <v>1002</v>
      </c>
      <c r="C17" s="484" t="s">
        <v>1309</v>
      </c>
      <c r="D17" s="489" t="str">
        <f t="shared" si="0"/>
        <v>Hóa</v>
      </c>
      <c r="E17" s="489">
        <f t="shared" si="1"/>
        <v>1</v>
      </c>
      <c r="F17" s="484">
        <v>8</v>
      </c>
      <c r="G17" s="484">
        <v>6</v>
      </c>
      <c r="H17" s="484">
        <v>5</v>
      </c>
      <c r="I17" s="109">
        <f t="shared" si="2"/>
        <v>13</v>
      </c>
      <c r="J17" s="109">
        <f t="shared" si="3"/>
        <v>19</v>
      </c>
      <c r="K17" s="489" t="str">
        <f t="shared" si="4"/>
        <v>Đậu</v>
      </c>
      <c r="L17" s="109">
        <f t="shared" si="5"/>
        <v>19</v>
      </c>
      <c r="M17" s="109" t="str">
        <f t="shared" si="6"/>
        <v>Có</v>
      </c>
    </row>
    <row r="18" spans="1:15">
      <c r="A18" s="484" t="s">
        <v>1301</v>
      </c>
      <c r="B18" s="484" t="s">
        <v>1302</v>
      </c>
      <c r="C18" s="484" t="s">
        <v>1303</v>
      </c>
      <c r="D18" s="489" t="str">
        <f t="shared" si="0"/>
        <v>Hóa</v>
      </c>
      <c r="E18" s="489">
        <f t="shared" si="1"/>
        <v>2</v>
      </c>
      <c r="F18" s="484">
        <v>9</v>
      </c>
      <c r="G18" s="484">
        <v>9</v>
      </c>
      <c r="H18" s="484">
        <v>7</v>
      </c>
      <c r="I18" s="109">
        <f t="shared" si="2"/>
        <v>14</v>
      </c>
      <c r="J18" s="109">
        <f t="shared" si="3"/>
        <v>25</v>
      </c>
      <c r="K18" s="489" t="str">
        <f t="shared" si="4"/>
        <v>Đậu</v>
      </c>
      <c r="L18" s="109">
        <f t="shared" si="5"/>
        <v>19</v>
      </c>
      <c r="M18" s="109" t="str">
        <f t="shared" si="6"/>
        <v>Có</v>
      </c>
    </row>
    <row r="19" spans="1:15">
      <c r="A19" s="484" t="s">
        <v>1306</v>
      </c>
      <c r="B19" s="484" t="s">
        <v>1006</v>
      </c>
      <c r="C19" s="484" t="s">
        <v>1307</v>
      </c>
      <c r="D19" s="489" t="str">
        <f t="shared" si="0"/>
        <v>Cơ khí</v>
      </c>
      <c r="E19" s="489">
        <f t="shared" si="1"/>
        <v>1</v>
      </c>
      <c r="F19" s="484">
        <v>10</v>
      </c>
      <c r="G19" s="484">
        <v>8</v>
      </c>
      <c r="H19" s="484">
        <v>8</v>
      </c>
      <c r="I19" s="109">
        <f t="shared" si="2"/>
        <v>15</v>
      </c>
      <c r="J19" s="109">
        <f t="shared" si="3"/>
        <v>26</v>
      </c>
      <c r="K19" s="489" t="str">
        <f t="shared" si="4"/>
        <v>Đậu</v>
      </c>
      <c r="L19" s="109">
        <f t="shared" si="5"/>
        <v>21</v>
      </c>
      <c r="M19" s="109" t="str">
        <f t="shared" si="6"/>
        <v>Có</v>
      </c>
    </row>
    <row r="20" spans="1:15">
      <c r="A20" s="112" t="s">
        <v>1221</v>
      </c>
    </row>
    <row r="21" spans="1:15" ht="14.25" customHeight="1">
      <c r="A21" s="104" t="s">
        <v>1312</v>
      </c>
    </row>
    <row r="22" spans="1:15" ht="17.25" customHeight="1">
      <c r="A22" s="104" t="s">
        <v>1313</v>
      </c>
    </row>
    <row r="23" spans="1:15" ht="31.5" customHeight="1">
      <c r="A23" s="993" t="s">
        <v>1314</v>
      </c>
      <c r="B23" s="993"/>
      <c r="C23" s="993"/>
      <c r="D23" s="993"/>
      <c r="E23" s="993"/>
      <c r="F23" s="993"/>
      <c r="G23" s="993"/>
      <c r="H23" s="993"/>
      <c r="I23" s="993"/>
      <c r="J23" s="993"/>
      <c r="K23" s="993"/>
      <c r="L23" s="993"/>
      <c r="M23" s="993"/>
      <c r="N23" s="993"/>
      <c r="O23" s="993"/>
    </row>
    <row r="24" spans="1:15">
      <c r="A24" s="104" t="s">
        <v>1315</v>
      </c>
    </row>
    <row r="25" spans="1:15">
      <c r="B25" s="113" t="s">
        <v>1316</v>
      </c>
    </row>
    <row r="26" spans="1:15">
      <c r="B26" s="113" t="s">
        <v>1317</v>
      </c>
    </row>
    <row r="27" spans="1:15" ht="32.25" customHeight="1">
      <c r="A27" s="993" t="s">
        <v>1318</v>
      </c>
      <c r="B27" s="993"/>
      <c r="C27" s="993"/>
      <c r="D27" s="993"/>
      <c r="E27" s="993"/>
      <c r="F27" s="993"/>
      <c r="G27" s="993"/>
      <c r="H27" s="993"/>
      <c r="I27" s="993"/>
      <c r="J27" s="993"/>
      <c r="K27" s="993"/>
      <c r="L27" s="993"/>
      <c r="M27" s="993"/>
      <c r="N27" s="993"/>
      <c r="O27" s="993"/>
    </row>
    <row r="28" spans="1:15">
      <c r="A28" s="104" t="s">
        <v>1319</v>
      </c>
    </row>
    <row r="29" spans="1:15" ht="15" customHeight="1">
      <c r="A29" s="104" t="s">
        <v>1320</v>
      </c>
    </row>
    <row r="30" spans="1:15" ht="16.5" customHeight="1">
      <c r="A30" s="104" t="s">
        <v>1321</v>
      </c>
    </row>
    <row r="31" spans="1:15">
      <c r="A31" s="113" t="s">
        <v>1322</v>
      </c>
    </row>
    <row r="32" spans="1:15">
      <c r="A32" s="104" t="s">
        <v>1323</v>
      </c>
    </row>
    <row r="33" spans="1:15">
      <c r="A33" s="993" t="s">
        <v>918</v>
      </c>
      <c r="B33" s="993"/>
      <c r="C33" s="993"/>
      <c r="D33" s="993"/>
      <c r="E33" s="993"/>
      <c r="F33" s="993"/>
      <c r="G33" s="993"/>
      <c r="H33" s="993"/>
      <c r="I33" s="993"/>
      <c r="J33" s="993"/>
      <c r="K33" s="993"/>
      <c r="L33" s="993"/>
      <c r="M33" s="993"/>
      <c r="N33" s="993"/>
      <c r="O33" s="993"/>
    </row>
    <row r="34" spans="1:15" ht="15" customHeight="1">
      <c r="A34" s="104" t="s">
        <v>1324</v>
      </c>
    </row>
    <row r="35" spans="1:15">
      <c r="A35" s="104" t="s">
        <v>1325</v>
      </c>
    </row>
    <row r="36" spans="1:15">
      <c r="A36" s="104" t="s">
        <v>919</v>
      </c>
    </row>
    <row r="37" spans="1:15">
      <c r="A37" s="104" t="s">
        <v>1333</v>
      </c>
    </row>
    <row r="38" spans="1:15" ht="16.5" thickBot="1">
      <c r="A38" s="104" t="s">
        <v>40</v>
      </c>
    </row>
    <row r="39" spans="1:15" ht="31.5" customHeight="1" thickTop="1">
      <c r="D39" s="490" t="s">
        <v>261</v>
      </c>
      <c r="E39" s="481" t="s">
        <v>263</v>
      </c>
      <c r="F39" s="996" t="s">
        <v>1326</v>
      </c>
      <c r="G39" s="997"/>
    </row>
    <row r="40" spans="1:15" ht="28.5" customHeight="1" thickBot="1">
      <c r="B40" s="491"/>
      <c r="C40" s="492"/>
      <c r="D40" s="493">
        <f>COUNTIF($K$12:$K$19,"Đậu")</f>
        <v>4</v>
      </c>
      <c r="E40" s="494">
        <f>COUNTIF($K$12:$K$19,"Rớt")</f>
        <v>4</v>
      </c>
      <c r="F40" s="994">
        <f>COUNTIF($M$12:$M$19,"Có")</f>
        <v>3</v>
      </c>
      <c r="G40" s="995"/>
    </row>
    <row r="41" spans="1:15" customFormat="1" ht="16.5" thickTop="1">
      <c r="A41" s="491" t="s">
        <v>1363</v>
      </c>
    </row>
    <row r="42" spans="1:15" ht="20.25" customHeight="1">
      <c r="A42" s="104" t="s">
        <v>848</v>
      </c>
      <c r="B42" s="491"/>
      <c r="C42" s="233"/>
      <c r="D42" s="234"/>
      <c r="E42" s="234"/>
      <c r="F42" s="234"/>
      <c r="G42" s="234"/>
      <c r="H42" s="234"/>
      <c r="I42" s="234"/>
      <c r="J42" s="234"/>
      <c r="K42" s="234"/>
    </row>
    <row r="43" spans="1:15" ht="27.75" customHeight="1">
      <c r="A43" s="592" t="s">
        <v>1288</v>
      </c>
    </row>
    <row r="44" spans="1:15">
      <c r="A44" s="484" t="s">
        <v>920</v>
      </c>
    </row>
    <row r="45" spans="1:15">
      <c r="A45" s="992" t="s">
        <v>922</v>
      </c>
      <c r="B45" s="992"/>
      <c r="C45" s="992"/>
      <c r="D45" s="992"/>
      <c r="E45" s="992"/>
      <c r="F45" s="992"/>
      <c r="G45" s="992"/>
      <c r="H45" s="992"/>
      <c r="I45" s="992"/>
      <c r="J45" s="992"/>
      <c r="K45" s="992"/>
      <c r="L45" s="992"/>
      <c r="M45" s="992"/>
    </row>
    <row r="46" spans="1:15" ht="31.5">
      <c r="A46" s="592" t="s">
        <v>1288</v>
      </c>
      <c r="B46" s="593" t="s">
        <v>1289</v>
      </c>
      <c r="C46" s="593" t="s">
        <v>1290</v>
      </c>
      <c r="D46" s="592" t="s">
        <v>1280</v>
      </c>
      <c r="E46" s="592" t="s">
        <v>1291</v>
      </c>
      <c r="F46" s="592" t="s">
        <v>1292</v>
      </c>
      <c r="G46" s="592" t="s">
        <v>1144</v>
      </c>
      <c r="H46" s="592" t="s">
        <v>1145</v>
      </c>
      <c r="I46" s="592" t="s">
        <v>102</v>
      </c>
      <c r="J46" s="592" t="s">
        <v>103</v>
      </c>
      <c r="K46" s="592" t="s">
        <v>1293</v>
      </c>
      <c r="L46" s="592" t="s">
        <v>1284</v>
      </c>
      <c r="M46" s="592" t="s">
        <v>104</v>
      </c>
    </row>
    <row r="47" spans="1:15">
      <c r="A47" s="484" t="s">
        <v>1310</v>
      </c>
      <c r="B47" s="484" t="s">
        <v>1311</v>
      </c>
      <c r="C47" s="484" t="s">
        <v>1009</v>
      </c>
      <c r="D47" s="489" t="s">
        <v>1283</v>
      </c>
      <c r="E47" s="489">
        <v>2</v>
      </c>
      <c r="F47" s="484">
        <v>4</v>
      </c>
      <c r="G47" s="484">
        <v>3</v>
      </c>
      <c r="H47" s="484">
        <v>5</v>
      </c>
      <c r="I47" s="109">
        <v>20</v>
      </c>
      <c r="J47" s="109">
        <v>12</v>
      </c>
      <c r="K47" s="489" t="s">
        <v>1089</v>
      </c>
      <c r="L47" s="109">
        <v>25</v>
      </c>
      <c r="M47" s="109" t="s">
        <v>443</v>
      </c>
    </row>
    <row r="48" spans="1:15">
      <c r="A48" s="484" t="s">
        <v>1304</v>
      </c>
      <c r="B48" s="484" t="s">
        <v>998</v>
      </c>
      <c r="C48" s="484" t="s">
        <v>1305</v>
      </c>
      <c r="D48" s="489" t="s">
        <v>1283</v>
      </c>
      <c r="E48" s="489">
        <v>2</v>
      </c>
      <c r="F48" s="484">
        <v>5</v>
      </c>
      <c r="G48" s="484">
        <v>4</v>
      </c>
      <c r="H48" s="484">
        <v>4</v>
      </c>
      <c r="I48" s="109">
        <v>20</v>
      </c>
      <c r="J48" s="109">
        <v>13</v>
      </c>
      <c r="K48" s="489" t="s">
        <v>1089</v>
      </c>
      <c r="L48" s="109">
        <v>25</v>
      </c>
      <c r="M48" s="109" t="s">
        <v>443</v>
      </c>
    </row>
    <row r="49" spans="1:13">
      <c r="A49" s="484" t="s">
        <v>1294</v>
      </c>
      <c r="B49" s="484" t="s">
        <v>1002</v>
      </c>
      <c r="C49" s="484" t="s">
        <v>1295</v>
      </c>
      <c r="D49" s="489" t="s">
        <v>1283</v>
      </c>
      <c r="E49" s="489">
        <v>1</v>
      </c>
      <c r="F49" s="484">
        <v>5</v>
      </c>
      <c r="G49" s="484">
        <v>8</v>
      </c>
      <c r="H49" s="484">
        <v>7</v>
      </c>
      <c r="I49" s="109">
        <v>19</v>
      </c>
      <c r="J49" s="109">
        <v>20</v>
      </c>
      <c r="K49" s="489" t="s">
        <v>921</v>
      </c>
      <c r="L49" s="109">
        <v>25</v>
      </c>
      <c r="M49" s="109" t="s">
        <v>443</v>
      </c>
    </row>
  </sheetData>
  <mergeCells count="9">
    <mergeCell ref="A45:M45"/>
    <mergeCell ref="A27:O27"/>
    <mergeCell ref="A33:O33"/>
    <mergeCell ref="F40:G40"/>
    <mergeCell ref="F39:G39"/>
    <mergeCell ref="A4:D4"/>
    <mergeCell ref="A10:O10"/>
    <mergeCell ref="A23:O23"/>
    <mergeCell ref="F4:J4"/>
  </mergeCells>
  <phoneticPr fontId="0" type="noConversion"/>
  <pageMargins left="0.75" right="0.75" top="0.5" bottom="0.5" header="0.5" footer="0.5"/>
  <pageSetup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C2D2C-BDDE-4B87-A5E0-2663E9268C0B}">
  <dimension ref="A1:Q48"/>
  <sheetViews>
    <sheetView workbookViewId="0">
      <selection activeCell="I1" sqref="I1"/>
    </sheetView>
  </sheetViews>
  <sheetFormatPr defaultColWidth="15.140625" defaultRowHeight="15.75"/>
  <cols>
    <col min="1" max="1" width="5.140625" style="695" customWidth="1"/>
    <col min="2" max="2" width="7.7109375" style="695" customWidth="1"/>
    <col min="3" max="3" width="14" style="695" customWidth="1"/>
    <col min="4" max="4" width="11.28515625" style="695" customWidth="1"/>
    <col min="5" max="5" width="7.28515625" style="695" customWidth="1"/>
    <col min="6" max="6" width="7.140625" style="695" customWidth="1"/>
    <col min="7" max="7" width="9.42578125" style="695" customWidth="1"/>
    <col min="8" max="8" width="10.85546875" style="695" customWidth="1"/>
    <col min="9" max="9" width="15.28515625" style="695" customWidth="1"/>
    <col min="10" max="10" width="14.140625" style="695" customWidth="1"/>
    <col min="11" max="11" width="15.140625" style="695" customWidth="1"/>
    <col min="12" max="12" width="15.28515625" style="695" customWidth="1"/>
    <col min="13" max="13" width="7.7109375" style="695" customWidth="1"/>
    <col min="14" max="14" width="7.28515625" style="695" customWidth="1"/>
    <col min="15" max="15" width="7.7109375" style="696" customWidth="1"/>
    <col min="16" max="16" width="7.140625" style="695" customWidth="1"/>
    <col min="17" max="18" width="5.85546875" style="695" customWidth="1"/>
    <col min="19" max="19" width="5.28515625" style="695" customWidth="1"/>
    <col min="20" max="20" width="4.28515625" style="695" customWidth="1"/>
    <col min="21" max="21" width="5.5703125" style="695" customWidth="1"/>
    <col min="22" max="16384" width="15.140625" style="695"/>
  </cols>
  <sheetData>
    <row r="1" spans="1:10">
      <c r="A1" s="694" t="s">
        <v>1334</v>
      </c>
      <c r="I1" s="695" t="s">
        <v>1991</v>
      </c>
    </row>
    <row r="3" spans="1:10">
      <c r="A3" s="697"/>
      <c r="B3" s="697"/>
      <c r="C3" s="697"/>
      <c r="D3" s="697"/>
      <c r="E3" s="697"/>
      <c r="F3" s="697"/>
      <c r="G3" s="697"/>
      <c r="H3" s="697"/>
      <c r="I3" s="697"/>
      <c r="J3" s="697"/>
    </row>
    <row r="4" spans="1:10">
      <c r="F4" s="698" t="s">
        <v>1335</v>
      </c>
      <c r="G4" s="714">
        <v>15800</v>
      </c>
    </row>
    <row r="5" spans="1:10" ht="31.5">
      <c r="A5" s="73" t="s">
        <v>1073</v>
      </c>
      <c r="B5" s="73" t="s">
        <v>1336</v>
      </c>
      <c r="C5" s="73" t="s">
        <v>964</v>
      </c>
      <c r="D5" s="73" t="s">
        <v>1337</v>
      </c>
      <c r="E5" s="73" t="s">
        <v>1338</v>
      </c>
      <c r="F5" s="73" t="s">
        <v>1339</v>
      </c>
      <c r="G5" s="73" t="s">
        <v>965</v>
      </c>
      <c r="H5" s="73" t="s">
        <v>1340</v>
      </c>
      <c r="I5" s="73" t="s">
        <v>1341</v>
      </c>
      <c r="J5" s="73" t="s">
        <v>1103</v>
      </c>
    </row>
    <row r="6" spans="1:10">
      <c r="A6" s="699">
        <v>4</v>
      </c>
      <c r="B6" s="700" t="s">
        <v>1345</v>
      </c>
      <c r="C6" s="474" t="str">
        <f t="shared" ref="C6:C15" si="0">VLOOKUP(B6,$A$21:$E$25,2,0)</f>
        <v>Máy điện thoại</v>
      </c>
      <c r="D6" s="701">
        <v>38364</v>
      </c>
      <c r="E6" s="699" t="s">
        <v>1347</v>
      </c>
      <c r="F6" s="699"/>
      <c r="G6" s="702">
        <v>45</v>
      </c>
      <c r="H6" s="703">
        <f>VLOOKUP(C6,$B$21:$E$25,IF(E6="X",3,4),0)</f>
        <v>150</v>
      </c>
      <c r="I6" s="704">
        <f t="shared" ref="I6:I15" si="1">IF(D6=DATE(2005,1,20),(H6*95%)*G6*15800,G6*H6*15800)</f>
        <v>106650000</v>
      </c>
      <c r="J6" s="705" t="str">
        <f>IF(AND(10&lt;=DAY(D6),DAY(D6)&lt;=20),"Có khuyến mãi","")</f>
        <v>Có khuyến mãi</v>
      </c>
    </row>
    <row r="7" spans="1:10">
      <c r="A7" s="699">
        <v>8</v>
      </c>
      <c r="B7" s="700" t="s">
        <v>1345</v>
      </c>
      <c r="C7" s="474" t="str">
        <f t="shared" si="0"/>
        <v>Máy điện thoại</v>
      </c>
      <c r="D7" s="701">
        <v>38380</v>
      </c>
      <c r="E7" s="699"/>
      <c r="F7" s="699" t="s">
        <v>1347</v>
      </c>
      <c r="G7" s="702">
        <v>15</v>
      </c>
      <c r="H7" s="703">
        <f>VLOOKUP(C7,$B$21:$E$25,IF(E7="X",3,4),0)</f>
        <v>180</v>
      </c>
      <c r="I7" s="704">
        <f t="shared" si="1"/>
        <v>42660000</v>
      </c>
      <c r="J7" s="705" t="str">
        <f t="shared" ref="J7:J15" si="2">IF(AND(10&lt;=DAY(D7),DAY(D7)&lt;=20),"Có khuyến mãi","")</f>
        <v/>
      </c>
    </row>
    <row r="8" spans="1:10">
      <c r="A8" s="699">
        <v>3</v>
      </c>
      <c r="B8" s="700" t="s">
        <v>1344</v>
      </c>
      <c r="C8" s="474" t="str">
        <f t="shared" si="0"/>
        <v>Máy lạnh</v>
      </c>
      <c r="D8" s="701">
        <v>38355</v>
      </c>
      <c r="E8" s="699" t="s">
        <v>1347</v>
      </c>
      <c r="F8" s="699"/>
      <c r="G8" s="702">
        <v>25</v>
      </c>
      <c r="H8" s="703">
        <f>VLOOKUP(C8,$B$21:$E$25,IF(E8="X",3,4),0)</f>
        <v>250</v>
      </c>
      <c r="I8" s="704">
        <f t="shared" si="1"/>
        <v>98750000</v>
      </c>
      <c r="J8" s="705" t="str">
        <f t="shared" si="2"/>
        <v/>
      </c>
    </row>
    <row r="9" spans="1:10">
      <c r="A9" s="699">
        <v>6</v>
      </c>
      <c r="B9" s="700" t="s">
        <v>1344</v>
      </c>
      <c r="C9" s="474" t="str">
        <f t="shared" si="0"/>
        <v>Máy lạnh</v>
      </c>
      <c r="D9" s="701">
        <v>38358</v>
      </c>
      <c r="E9" s="699"/>
      <c r="F9" s="699" t="s">
        <v>1347</v>
      </c>
      <c r="G9" s="702">
        <v>10</v>
      </c>
      <c r="H9" s="703">
        <f>VLOOKUP(C9,$B$21:$E$25,IF(E9="X",3,4),0)</f>
        <v>270</v>
      </c>
      <c r="I9" s="704">
        <f t="shared" si="1"/>
        <v>42660000</v>
      </c>
      <c r="J9" s="705" t="str">
        <f t="shared" si="2"/>
        <v/>
      </c>
    </row>
    <row r="10" spans="1:10">
      <c r="A10" s="699">
        <v>7</v>
      </c>
      <c r="B10" s="700" t="s">
        <v>1343</v>
      </c>
      <c r="C10" s="474" t="str">
        <f t="shared" si="0"/>
        <v>Máy photo</v>
      </c>
      <c r="D10" s="701">
        <v>38372</v>
      </c>
      <c r="E10" s="699" t="s">
        <v>1347</v>
      </c>
      <c r="F10" s="699"/>
      <c r="G10" s="702">
        <v>50</v>
      </c>
      <c r="H10" s="703">
        <v>400</v>
      </c>
      <c r="I10" s="704">
        <f t="shared" si="1"/>
        <v>300200000</v>
      </c>
      <c r="J10" s="705" t="str">
        <f t="shared" si="2"/>
        <v>Có khuyến mãi</v>
      </c>
    </row>
    <row r="11" spans="1:10">
      <c r="A11" s="699">
        <v>2</v>
      </c>
      <c r="B11" s="700" t="s">
        <v>1343</v>
      </c>
      <c r="C11" s="474" t="str">
        <f t="shared" si="0"/>
        <v>Máy photo</v>
      </c>
      <c r="D11" s="701">
        <v>38354</v>
      </c>
      <c r="E11" s="699"/>
      <c r="F11" s="699" t="s">
        <v>1347</v>
      </c>
      <c r="G11" s="702">
        <v>30</v>
      </c>
      <c r="H11" s="703">
        <f>VLOOKUP(C11,$B$21:$E$25,IF(E11="X",3,4),0)</f>
        <v>480</v>
      </c>
      <c r="I11" s="704">
        <f t="shared" si="1"/>
        <v>227520000</v>
      </c>
      <c r="J11" s="705" t="str">
        <f t="shared" si="2"/>
        <v/>
      </c>
    </row>
    <row r="12" spans="1:10">
      <c r="A12" s="699">
        <v>9</v>
      </c>
      <c r="B12" s="700" t="s">
        <v>1346</v>
      </c>
      <c r="C12" s="474" t="str">
        <f t="shared" si="0"/>
        <v>Tủ lạnh</v>
      </c>
      <c r="D12" s="701">
        <v>38369</v>
      </c>
      <c r="E12" s="699" t="s">
        <v>1347</v>
      </c>
      <c r="F12" s="699"/>
      <c r="G12" s="702">
        <v>30</v>
      </c>
      <c r="H12" s="703">
        <f>VLOOKUP(C12,$B$21:$E$25,IF(E12="X",3,4),0)</f>
        <v>280</v>
      </c>
      <c r="I12" s="704">
        <f t="shared" si="1"/>
        <v>132720000</v>
      </c>
      <c r="J12" s="705" t="str">
        <f t="shared" si="2"/>
        <v>Có khuyến mãi</v>
      </c>
    </row>
    <row r="13" spans="1:10">
      <c r="A13" s="699">
        <v>10</v>
      </c>
      <c r="B13" s="700" t="s">
        <v>1346</v>
      </c>
      <c r="C13" s="474" t="str">
        <f t="shared" si="0"/>
        <v>Tủ lạnh</v>
      </c>
      <c r="D13" s="701">
        <v>38372</v>
      </c>
      <c r="E13" s="699"/>
      <c r="F13" s="699" t="s">
        <v>1347</v>
      </c>
      <c r="G13" s="702">
        <v>8</v>
      </c>
      <c r="H13" s="703">
        <f>VLOOKUP(C13,$B$21:$E$25,IF(E13="X",3,4),0)</f>
        <v>300</v>
      </c>
      <c r="I13" s="704">
        <f t="shared" si="1"/>
        <v>36024000</v>
      </c>
      <c r="J13" s="705" t="str">
        <f t="shared" si="2"/>
        <v>Có khuyến mãi</v>
      </c>
    </row>
    <row r="14" spans="1:10">
      <c r="A14" s="699">
        <v>1</v>
      </c>
      <c r="B14" s="700" t="s">
        <v>1342</v>
      </c>
      <c r="C14" s="474" t="str">
        <f t="shared" si="0"/>
        <v>Ti vi</v>
      </c>
      <c r="D14" s="701">
        <v>38370</v>
      </c>
      <c r="E14" s="699" t="s">
        <v>1347</v>
      </c>
      <c r="F14" s="699"/>
      <c r="G14" s="702">
        <v>50</v>
      </c>
      <c r="H14" s="703">
        <f>VLOOKUP(C14,$B$21:$E$25,IF(E14="X",3,4),0)</f>
        <v>200</v>
      </c>
      <c r="I14" s="704">
        <f t="shared" si="1"/>
        <v>158000000</v>
      </c>
      <c r="J14" s="705" t="str">
        <f t="shared" si="2"/>
        <v>Có khuyến mãi</v>
      </c>
    </row>
    <row r="15" spans="1:10">
      <c r="A15" s="699">
        <v>5</v>
      </c>
      <c r="B15" s="700" t="s">
        <v>1342</v>
      </c>
      <c r="C15" s="474" t="str">
        <f t="shared" si="0"/>
        <v>Ti vi</v>
      </c>
      <c r="D15" s="701">
        <v>38357</v>
      </c>
      <c r="E15" s="699"/>
      <c r="F15" s="699" t="s">
        <v>1347</v>
      </c>
      <c r="G15" s="702">
        <v>15</v>
      </c>
      <c r="H15" s="703">
        <f>VLOOKUP(C15,$B$21:$E$25,IF(E15="X",3,4),0)</f>
        <v>220</v>
      </c>
      <c r="I15" s="704">
        <f t="shared" si="1"/>
        <v>52140000</v>
      </c>
      <c r="J15" s="705" t="str">
        <f t="shared" si="2"/>
        <v/>
      </c>
    </row>
    <row r="16" spans="1:10">
      <c r="A16" s="706"/>
      <c r="B16" s="706"/>
      <c r="C16" s="706"/>
      <c r="D16" s="706"/>
      <c r="E16" s="1005" t="s">
        <v>1104</v>
      </c>
      <c r="F16" s="1006"/>
      <c r="G16" s="735">
        <f>SUM(G6:G15)</f>
        <v>278</v>
      </c>
      <c r="H16" s="735">
        <f>SUM(H6:H15)</f>
        <v>2730</v>
      </c>
      <c r="I16" s="736">
        <f>SUM($I$6:$I$15)</f>
        <v>1197324000</v>
      </c>
      <c r="J16" s="737">
        <f>SUMIF($J$6:$J$15,"Có khuyến mãi",$G$6:$G$15)</f>
        <v>183</v>
      </c>
    </row>
    <row r="18" spans="1:16" ht="16.5" thickBot="1">
      <c r="A18" s="1011" t="s">
        <v>1407</v>
      </c>
      <c r="B18" s="1012"/>
      <c r="C18" s="1012"/>
      <c r="D18" s="1012"/>
      <c r="E18" s="1013"/>
    </row>
    <row r="19" spans="1:16" ht="32.25" thickTop="1">
      <c r="A19" s="1001" t="s">
        <v>1348</v>
      </c>
      <c r="B19" s="1002"/>
      <c r="C19" s="1002"/>
      <c r="D19" s="1002"/>
      <c r="E19" s="1003"/>
      <c r="G19" s="1011" t="s">
        <v>1408</v>
      </c>
      <c r="H19" s="1012"/>
      <c r="I19" s="1012"/>
      <c r="J19" s="1013"/>
      <c r="K19" s="695" t="s">
        <v>844</v>
      </c>
      <c r="L19" s="695" t="s">
        <v>845</v>
      </c>
      <c r="M19" s="406" t="s">
        <v>1336</v>
      </c>
      <c r="N19" s="460" t="s">
        <v>1338</v>
      </c>
      <c r="O19" s="406" t="s">
        <v>1336</v>
      </c>
      <c r="P19" s="460" t="s">
        <v>1339</v>
      </c>
    </row>
    <row r="20" spans="1:16" ht="31.5">
      <c r="A20" s="476" t="s">
        <v>1029</v>
      </c>
      <c r="B20" s="1001" t="s">
        <v>1030</v>
      </c>
      <c r="C20" s="1003"/>
      <c r="D20" s="477" t="s">
        <v>1058</v>
      </c>
      <c r="E20" s="477" t="s">
        <v>1059</v>
      </c>
      <c r="F20" s="478"/>
      <c r="G20" s="476" t="s">
        <v>1029</v>
      </c>
      <c r="H20" s="1001" t="s">
        <v>1353</v>
      </c>
      <c r="I20" s="1003"/>
      <c r="J20" s="477" t="s">
        <v>1352</v>
      </c>
      <c r="K20" s="695" t="b">
        <f>AND(B6="TV",E6="x")</f>
        <v>0</v>
      </c>
      <c r="L20" s="695" t="b">
        <f>AND(B6="ML",E6="x")</f>
        <v>0</v>
      </c>
      <c r="M20" s="707" t="s">
        <v>1342</v>
      </c>
      <c r="N20" s="708" t="s">
        <v>1347</v>
      </c>
      <c r="O20" s="707" t="s">
        <v>1342</v>
      </c>
      <c r="P20" s="708" t="s">
        <v>1347</v>
      </c>
    </row>
    <row r="21" spans="1:16" ht="31.5">
      <c r="A21" s="700" t="s">
        <v>1342</v>
      </c>
      <c r="B21" s="1007" t="s">
        <v>1349</v>
      </c>
      <c r="C21" s="1008"/>
      <c r="D21" s="700">
        <v>200</v>
      </c>
      <c r="E21" s="700">
        <v>220</v>
      </c>
      <c r="F21" s="706"/>
      <c r="G21" s="700" t="s">
        <v>1342</v>
      </c>
      <c r="H21" s="1009">
        <f>DSUM($A$5:$J$16,G5,$K$19:$K$20)</f>
        <v>50</v>
      </c>
      <c r="I21" s="1010"/>
      <c r="J21" s="705">
        <f>DSUM($A$5:$J$15,G5,$O$19:$P$20)</f>
        <v>15</v>
      </c>
      <c r="M21" s="656" t="s">
        <v>1336</v>
      </c>
      <c r="N21" s="657" t="s">
        <v>1338</v>
      </c>
      <c r="O21" s="656" t="s">
        <v>1336</v>
      </c>
      <c r="P21" s="657" t="s">
        <v>1339</v>
      </c>
    </row>
    <row r="22" spans="1:16">
      <c r="A22" s="700" t="s">
        <v>1344</v>
      </c>
      <c r="B22" s="1007" t="s">
        <v>1220</v>
      </c>
      <c r="C22" s="1008"/>
      <c r="D22" s="700">
        <v>250</v>
      </c>
      <c r="E22" s="700">
        <v>270</v>
      </c>
      <c r="F22" s="706"/>
      <c r="G22" s="700" t="s">
        <v>1344</v>
      </c>
      <c r="H22" s="1009">
        <f>DSUM($A$5:$J$16,G5,$L$19:$L$20)</f>
        <v>25</v>
      </c>
      <c r="I22" s="1010"/>
      <c r="J22" s="705">
        <f>DSUM($A$5:$J$15,G5,$O$21:$P$22)</f>
        <v>10</v>
      </c>
      <c r="M22" s="707" t="s">
        <v>1344</v>
      </c>
      <c r="N22" s="708" t="s">
        <v>1347</v>
      </c>
      <c r="O22" s="707" t="s">
        <v>1344</v>
      </c>
      <c r="P22" s="708" t="s">
        <v>1347</v>
      </c>
    </row>
    <row r="23" spans="1:16" ht="31.5">
      <c r="A23" s="700" t="s">
        <v>1343</v>
      </c>
      <c r="B23" s="1007" t="s">
        <v>1350</v>
      </c>
      <c r="C23" s="1008"/>
      <c r="D23" s="700">
        <v>450</v>
      </c>
      <c r="E23" s="700">
        <v>480</v>
      </c>
      <c r="F23" s="706"/>
      <c r="G23" s="700" t="s">
        <v>1343</v>
      </c>
      <c r="H23" s="1009">
        <f>DSUM($A$5:$J$15,G5,$M$23:$N$24)</f>
        <v>50</v>
      </c>
      <c r="I23" s="1010"/>
      <c r="J23" s="705">
        <f>DSUM($A$5:$J$15,G5,$O$23:$P$24)</f>
        <v>30</v>
      </c>
      <c r="M23" s="656" t="s">
        <v>1336</v>
      </c>
      <c r="N23" s="657" t="s">
        <v>1338</v>
      </c>
      <c r="O23" s="656" t="s">
        <v>1336</v>
      </c>
      <c r="P23" s="657" t="s">
        <v>1339</v>
      </c>
    </row>
    <row r="24" spans="1:16">
      <c r="A24" s="700" t="s">
        <v>1346</v>
      </c>
      <c r="B24" s="1007" t="s">
        <v>1219</v>
      </c>
      <c r="C24" s="1008"/>
      <c r="D24" s="700">
        <v>280</v>
      </c>
      <c r="E24" s="700">
        <v>300</v>
      </c>
      <c r="F24" s="706"/>
      <c r="G24" s="700" t="s">
        <v>1346</v>
      </c>
      <c r="H24" s="1009">
        <f>DSUM($A$5:$J$15,G5,$M$25:$N$26)</f>
        <v>30</v>
      </c>
      <c r="I24" s="1010"/>
      <c r="J24" s="705">
        <f>DSUM($A$5:$J$15,G5,$O$25:$P$26)</f>
        <v>8</v>
      </c>
      <c r="M24" s="707" t="s">
        <v>1343</v>
      </c>
      <c r="N24" s="708" t="s">
        <v>1347</v>
      </c>
      <c r="O24" s="707" t="s">
        <v>1343</v>
      </c>
      <c r="P24" s="708" t="s">
        <v>1347</v>
      </c>
    </row>
    <row r="25" spans="1:16" ht="31.5">
      <c r="A25" s="700" t="s">
        <v>1345</v>
      </c>
      <c r="B25" s="1007" t="s">
        <v>1351</v>
      </c>
      <c r="C25" s="1008"/>
      <c r="D25" s="700">
        <v>150</v>
      </c>
      <c r="E25" s="700">
        <v>180</v>
      </c>
      <c r="F25" s="706"/>
      <c r="G25" s="700" t="s">
        <v>1345</v>
      </c>
      <c r="H25" s="1009">
        <f>DSUM($A$5:$J$15,G5,$M$27:$N$28)</f>
        <v>45</v>
      </c>
      <c r="I25" s="1010"/>
      <c r="J25" s="705">
        <f>DSUM($A$5:$J$15,G5,$O$27:$P$28)</f>
        <v>15</v>
      </c>
      <c r="M25" s="656" t="s">
        <v>1336</v>
      </c>
      <c r="N25" s="657" t="s">
        <v>1338</v>
      </c>
      <c r="O25" s="656" t="s">
        <v>1336</v>
      </c>
      <c r="P25" s="657" t="s">
        <v>1339</v>
      </c>
    </row>
    <row r="26" spans="1:16">
      <c r="M26" s="707" t="s">
        <v>1346</v>
      </c>
      <c r="N26" s="708" t="s">
        <v>1347</v>
      </c>
      <c r="O26" s="707" t="s">
        <v>1346</v>
      </c>
      <c r="P26" s="708" t="s">
        <v>1347</v>
      </c>
    </row>
    <row r="27" spans="1:16" ht="31.5">
      <c r="A27" s="709" t="s">
        <v>1354</v>
      </c>
      <c r="B27" s="710"/>
      <c r="C27" s="710"/>
      <c r="D27" s="710"/>
      <c r="E27" s="710"/>
      <c r="F27" s="710"/>
      <c r="G27" s="710"/>
      <c r="H27" s="710"/>
      <c r="I27" s="710"/>
      <c r="J27" s="710"/>
      <c r="M27" s="656" t="s">
        <v>1336</v>
      </c>
      <c r="N27" s="657" t="s">
        <v>1338</v>
      </c>
      <c r="O27" s="656" t="s">
        <v>1336</v>
      </c>
      <c r="P27" s="657" t="s">
        <v>1339</v>
      </c>
    </row>
    <row r="28" spans="1:16" ht="16.5" thickBot="1">
      <c r="A28" s="711" t="s">
        <v>1356</v>
      </c>
      <c r="B28" s="710"/>
      <c r="C28" s="710"/>
      <c r="D28" s="710"/>
      <c r="E28" s="710"/>
      <c r="F28" s="710"/>
      <c r="G28" s="710"/>
      <c r="H28" s="710"/>
      <c r="I28" s="710"/>
      <c r="J28" s="710"/>
      <c r="M28" s="712" t="s">
        <v>1345</v>
      </c>
      <c r="N28" s="713" t="s">
        <v>1347</v>
      </c>
      <c r="O28" s="712" t="s">
        <v>1345</v>
      </c>
      <c r="P28" s="713" t="s">
        <v>1347</v>
      </c>
    </row>
    <row r="29" spans="1:16" ht="16.5" thickTop="1">
      <c r="A29" s="709" t="s">
        <v>1221</v>
      </c>
      <c r="B29" s="710"/>
      <c r="C29" s="710"/>
      <c r="D29" s="710"/>
      <c r="E29" s="710"/>
      <c r="F29" s="710"/>
      <c r="G29" s="710"/>
      <c r="H29" s="710"/>
      <c r="I29" s="710"/>
      <c r="J29" s="710"/>
    </row>
    <row r="30" spans="1:16">
      <c r="A30" s="710" t="s">
        <v>1355</v>
      </c>
      <c r="B30" s="710"/>
      <c r="C30" s="710"/>
      <c r="D30" s="710"/>
      <c r="E30" s="710"/>
      <c r="F30" s="710"/>
      <c r="G30" s="710"/>
      <c r="H30" s="710"/>
      <c r="I30" s="710"/>
      <c r="J30" s="710"/>
    </row>
    <row r="31" spans="1:16">
      <c r="A31" s="710" t="s">
        <v>1357</v>
      </c>
      <c r="B31" s="710"/>
      <c r="C31" s="710"/>
      <c r="D31" s="710"/>
      <c r="E31" s="710"/>
      <c r="F31" s="710"/>
      <c r="G31" s="710"/>
      <c r="H31" s="710"/>
      <c r="I31" s="710"/>
      <c r="J31" s="710"/>
    </row>
    <row r="32" spans="1:16">
      <c r="A32" s="710" t="s">
        <v>1358</v>
      </c>
      <c r="B32" s="710"/>
      <c r="C32" s="710"/>
      <c r="D32" s="710"/>
      <c r="E32" s="710"/>
      <c r="F32" s="710"/>
      <c r="G32" s="710"/>
      <c r="H32" s="710"/>
      <c r="I32" s="710"/>
      <c r="J32" s="710"/>
    </row>
    <row r="33" spans="1:17">
      <c r="A33" s="710" t="s">
        <v>1359</v>
      </c>
      <c r="B33" s="710"/>
      <c r="C33" s="710"/>
      <c r="D33" s="710"/>
      <c r="E33" s="710"/>
      <c r="F33" s="710"/>
      <c r="G33" s="710"/>
      <c r="H33" s="710"/>
      <c r="I33" s="710"/>
      <c r="J33" s="710"/>
    </row>
    <row r="34" spans="1:17">
      <c r="A34" s="710" t="s">
        <v>41</v>
      </c>
      <c r="B34" s="710"/>
      <c r="C34" s="710"/>
      <c r="D34" s="710"/>
      <c r="E34" s="710"/>
      <c r="F34" s="710"/>
      <c r="G34" s="710"/>
      <c r="H34" s="710"/>
      <c r="I34" s="710"/>
      <c r="J34" s="710"/>
    </row>
    <row r="35" spans="1:17">
      <c r="A35" s="710" t="s">
        <v>846</v>
      </c>
      <c r="B35" s="710"/>
      <c r="C35" s="710"/>
      <c r="D35" s="710"/>
      <c r="E35" s="710"/>
      <c r="F35" s="710"/>
      <c r="G35" s="710"/>
      <c r="H35" s="710"/>
      <c r="I35" s="710"/>
      <c r="J35" s="710"/>
    </row>
    <row r="36" spans="1:17" ht="35.25" customHeight="1">
      <c r="A36" s="710" t="s">
        <v>1360</v>
      </c>
      <c r="B36" s="710"/>
      <c r="C36" s="710"/>
      <c r="D36" s="710"/>
      <c r="E36" s="710"/>
      <c r="F36" s="710"/>
      <c r="G36" s="710"/>
      <c r="H36" s="710"/>
      <c r="I36" s="710"/>
      <c r="J36" s="710"/>
      <c r="L36" s="1004" t="s">
        <v>923</v>
      </c>
      <c r="M36" s="1004"/>
      <c r="N36" s="1004"/>
      <c r="O36" s="1004"/>
      <c r="P36" s="1004"/>
      <c r="Q36" s="1004"/>
    </row>
    <row r="37" spans="1:17">
      <c r="A37" s="710" t="s">
        <v>1361</v>
      </c>
      <c r="B37" s="710"/>
      <c r="C37" s="710"/>
      <c r="D37" s="710"/>
      <c r="E37" s="710"/>
      <c r="F37" s="710"/>
      <c r="G37" s="710"/>
      <c r="H37" s="710"/>
      <c r="I37" s="710"/>
      <c r="J37" s="710"/>
    </row>
    <row r="38" spans="1:17">
      <c r="A38" s="710" t="s">
        <v>1362</v>
      </c>
      <c r="B38" s="710"/>
      <c r="C38" s="710"/>
      <c r="D38" s="710"/>
      <c r="E38" s="710"/>
      <c r="F38" s="710"/>
      <c r="G38" s="710"/>
      <c r="H38" s="710"/>
      <c r="I38" s="710"/>
      <c r="J38" s="710"/>
    </row>
    <row r="39" spans="1:17">
      <c r="A39" s="710" t="s">
        <v>47</v>
      </c>
      <c r="B39" s="710"/>
      <c r="C39" s="710"/>
      <c r="D39" s="710"/>
      <c r="E39" s="710"/>
      <c r="F39" s="710"/>
      <c r="G39" s="710"/>
      <c r="H39" s="710"/>
      <c r="I39" s="710"/>
      <c r="J39" s="710"/>
    </row>
    <row r="40" spans="1:17">
      <c r="A40" s="710" t="s">
        <v>1364</v>
      </c>
      <c r="B40" s="710"/>
      <c r="C40" s="710"/>
      <c r="D40" s="710"/>
      <c r="E40" s="710"/>
      <c r="F40" s="710"/>
      <c r="G40" s="710"/>
      <c r="H40" s="710"/>
      <c r="I40" s="710"/>
      <c r="J40" s="710"/>
    </row>
    <row r="41" spans="1:17">
      <c r="A41" s="710" t="s">
        <v>1365</v>
      </c>
      <c r="B41" s="710"/>
      <c r="C41" s="710"/>
      <c r="D41" s="710"/>
      <c r="E41" s="710"/>
      <c r="F41" s="710"/>
      <c r="G41" s="710"/>
      <c r="H41" s="710"/>
      <c r="I41" s="710"/>
      <c r="J41" s="710"/>
    </row>
    <row r="42" spans="1:17">
      <c r="A42" s="710" t="s">
        <v>847</v>
      </c>
      <c r="B42" s="710"/>
      <c r="C42" s="710"/>
      <c r="D42" s="710"/>
      <c r="E42" s="710"/>
      <c r="F42" s="710"/>
      <c r="G42" s="710"/>
      <c r="H42" s="710"/>
      <c r="I42" s="710"/>
      <c r="J42" s="710"/>
    </row>
    <row r="43" spans="1:17" ht="31.5">
      <c r="A43" s="73" t="s">
        <v>1073</v>
      </c>
      <c r="B43" s="73" t="s">
        <v>1336</v>
      </c>
      <c r="C43" s="73" t="s">
        <v>964</v>
      </c>
      <c r="D43" s="73" t="s">
        <v>1337</v>
      </c>
      <c r="E43" s="73" t="s">
        <v>1338</v>
      </c>
      <c r="F43" s="73" t="s">
        <v>1339</v>
      </c>
      <c r="G43" s="73" t="s">
        <v>965</v>
      </c>
      <c r="H43" s="73" t="s">
        <v>1340</v>
      </c>
      <c r="I43" s="73" t="s">
        <v>1341</v>
      </c>
      <c r="J43" s="73" t="s">
        <v>1103</v>
      </c>
    </row>
    <row r="44" spans="1:17">
      <c r="A44" s="699">
        <v>2</v>
      </c>
      <c r="B44" s="700" t="s">
        <v>1343</v>
      </c>
      <c r="C44" s="474" t="s">
        <v>1350</v>
      </c>
      <c r="D44" s="701">
        <v>38354</v>
      </c>
      <c r="E44" s="699"/>
      <c r="F44" s="699" t="s">
        <v>1347</v>
      </c>
      <c r="G44" s="702">
        <v>30</v>
      </c>
      <c r="H44" s="703">
        <v>480</v>
      </c>
      <c r="I44" s="704">
        <v>227520000</v>
      </c>
      <c r="J44" s="705" t="s">
        <v>106</v>
      </c>
    </row>
    <row r="45" spans="1:17">
      <c r="A45" s="699">
        <v>3</v>
      </c>
      <c r="B45" s="700" t="s">
        <v>1344</v>
      </c>
      <c r="C45" s="474" t="s">
        <v>1220</v>
      </c>
      <c r="D45" s="701">
        <v>38355</v>
      </c>
      <c r="E45" s="699" t="s">
        <v>1347</v>
      </c>
      <c r="F45" s="699"/>
      <c r="G45" s="702">
        <v>25</v>
      </c>
      <c r="H45" s="703">
        <v>250</v>
      </c>
      <c r="I45" s="704">
        <v>98750000</v>
      </c>
      <c r="J45" s="705" t="s">
        <v>106</v>
      </c>
    </row>
    <row r="46" spans="1:17">
      <c r="A46" s="699">
        <v>5</v>
      </c>
      <c r="B46" s="700" t="s">
        <v>1342</v>
      </c>
      <c r="C46" s="474" t="s">
        <v>1349</v>
      </c>
      <c r="D46" s="701">
        <v>38357</v>
      </c>
      <c r="E46" s="699"/>
      <c r="F46" s="699" t="s">
        <v>1347</v>
      </c>
      <c r="G46" s="702">
        <v>15</v>
      </c>
      <c r="H46" s="703">
        <v>220</v>
      </c>
      <c r="I46" s="704">
        <v>52140000</v>
      </c>
      <c r="J46" s="705" t="s">
        <v>106</v>
      </c>
    </row>
    <row r="47" spans="1:17">
      <c r="A47" s="699">
        <v>6</v>
      </c>
      <c r="B47" s="700" t="s">
        <v>1344</v>
      </c>
      <c r="C47" s="474" t="s">
        <v>1220</v>
      </c>
      <c r="D47" s="701">
        <v>38358</v>
      </c>
      <c r="E47" s="699"/>
      <c r="F47" s="699" t="s">
        <v>1347</v>
      </c>
      <c r="G47" s="702">
        <v>10</v>
      </c>
      <c r="H47" s="703">
        <v>270</v>
      </c>
      <c r="I47" s="704">
        <v>42660000</v>
      </c>
      <c r="J47" s="705" t="s">
        <v>106</v>
      </c>
    </row>
    <row r="48" spans="1:17">
      <c r="A48" s="699">
        <v>4</v>
      </c>
      <c r="B48" s="700" t="s">
        <v>1345</v>
      </c>
      <c r="C48" s="474" t="s">
        <v>1351</v>
      </c>
      <c r="D48" s="701">
        <v>38364</v>
      </c>
      <c r="E48" s="699" t="s">
        <v>1347</v>
      </c>
      <c r="F48" s="699"/>
      <c r="G48" s="702">
        <v>45</v>
      </c>
      <c r="H48" s="703">
        <v>150</v>
      </c>
      <c r="I48" s="704">
        <v>106650000</v>
      </c>
      <c r="J48" s="705" t="s">
        <v>105</v>
      </c>
    </row>
  </sheetData>
  <mergeCells count="17">
    <mergeCell ref="H23:I23"/>
    <mergeCell ref="H24:I24"/>
    <mergeCell ref="H25:I25"/>
    <mergeCell ref="B22:C22"/>
    <mergeCell ref="B23:C23"/>
    <mergeCell ref="B24:C24"/>
    <mergeCell ref="B25:C25"/>
    <mergeCell ref="A19:E19"/>
    <mergeCell ref="L36:Q36"/>
    <mergeCell ref="E16:F16"/>
    <mergeCell ref="B20:C20"/>
    <mergeCell ref="B21:C21"/>
    <mergeCell ref="H20:I20"/>
    <mergeCell ref="H21:I21"/>
    <mergeCell ref="G19:J19"/>
    <mergeCell ref="A18:E18"/>
    <mergeCell ref="H22:I22"/>
  </mergeCells>
  <phoneticPr fontId="2" type="noConversion"/>
  <pageMargins left="0.5" right="0.5" top="1" bottom="1" header="0.5" footer="0.5"/>
  <pageSetup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A1739-5032-4B3D-B20F-F040393C3082}">
  <dimension ref="A1:P52"/>
  <sheetViews>
    <sheetView workbookViewId="0">
      <selection activeCell="J1" sqref="J1"/>
    </sheetView>
  </sheetViews>
  <sheetFormatPr defaultRowHeight="15.75"/>
  <cols>
    <col min="1" max="1" width="9.140625" style="20"/>
    <col min="2" max="2" width="10.7109375" style="20" customWidth="1"/>
    <col min="3" max="3" width="10.5703125" style="20" customWidth="1"/>
    <col min="4" max="4" width="11" style="20" customWidth="1"/>
    <col min="5" max="5" width="11.7109375" style="20" customWidth="1"/>
    <col min="6" max="6" width="11.28515625" style="20" customWidth="1"/>
    <col min="7" max="7" width="14" style="20" customWidth="1"/>
    <col min="8" max="8" width="9.85546875" style="20" customWidth="1"/>
    <col min="9" max="9" width="9.140625" style="20"/>
    <col min="10" max="10" width="15.7109375" style="20" customWidth="1"/>
    <col min="11" max="11" width="12.140625" style="20" customWidth="1"/>
    <col min="12" max="12" width="14.140625" style="20" customWidth="1"/>
    <col min="13" max="13" width="14" style="20" customWidth="1"/>
    <col min="14" max="16384" width="9.140625" style="20"/>
  </cols>
  <sheetData>
    <row r="1" spans="1:10">
      <c r="A1" s="456" t="s">
        <v>1366</v>
      </c>
      <c r="J1" s="20" t="s">
        <v>1991</v>
      </c>
    </row>
    <row r="5" spans="1:10">
      <c r="A5" s="467" t="s">
        <v>1367</v>
      </c>
      <c r="B5" s="467" t="s">
        <v>1030</v>
      </c>
      <c r="C5" s="467" t="s">
        <v>1368</v>
      </c>
      <c r="D5" s="467" t="s">
        <v>1369</v>
      </c>
      <c r="E5" s="467" t="s">
        <v>968</v>
      </c>
      <c r="F5" s="467" t="s">
        <v>1061</v>
      </c>
      <c r="G5" s="467" t="s">
        <v>1370</v>
      </c>
      <c r="H5" s="467" t="s">
        <v>1371</v>
      </c>
    </row>
    <row r="6" spans="1:10">
      <c r="A6" s="473" t="s">
        <v>1374</v>
      </c>
      <c r="B6" s="472" t="str">
        <f t="shared" ref="B6:B14" si="0">VLOOKUP(LEFT(A6,1),$A$18:$C$22,2,0)</f>
        <v>Gấm T.hải</v>
      </c>
      <c r="C6" s="473">
        <v>250</v>
      </c>
      <c r="D6" s="495">
        <f t="shared" ref="D6:D14" si="1">C6*VLOOKUP(LEFT(A6,1),$A$18:$C$22,3,0)</f>
        <v>18750000</v>
      </c>
      <c r="E6" s="495">
        <f t="shared" ref="E6:E14" si="2">D6*HLOOKUP(VALUE(MID(A6,2,2)),$F$17:$H$18,2,2)</f>
        <v>281250</v>
      </c>
      <c r="F6" s="495">
        <f>D6*IF(AND(VALUE(MID(A6,2,2))&gt;=1,VALUE(MID(A6,2,2))&lt;=3),1.2%,IF(AND(VALUE(MID(A6,2,2))&gt;=4,VALUE(MID(A6,2,2))&lt;9),1.5%,1.75%))</f>
        <v>281250</v>
      </c>
      <c r="G6" s="495">
        <f t="shared" ref="G6:G14" si="3">IF(D6&gt;5000000,D6*75%,D6*50%)</f>
        <v>14062500</v>
      </c>
      <c r="H6" s="495">
        <f t="shared" ref="H6:H14" si="4">D6-G6</f>
        <v>4687500</v>
      </c>
    </row>
    <row r="7" spans="1:10">
      <c r="A7" s="473" t="s">
        <v>96</v>
      </c>
      <c r="B7" s="472" t="str">
        <f t="shared" si="0"/>
        <v>Vải Katê</v>
      </c>
      <c r="C7" s="473">
        <v>120</v>
      </c>
      <c r="D7" s="495">
        <f t="shared" si="1"/>
        <v>840000</v>
      </c>
      <c r="E7" s="495">
        <f t="shared" si="2"/>
        <v>10080</v>
      </c>
      <c r="F7" s="495">
        <f t="shared" ref="F7:F14" si="5">D7*IF(AND(VALUE(MID(A7,2,2))&gt;=1,VALUE(MID(A7,2,2))&lt;=3),1.2%,IF(AND(VALUE(MID(A7,2,2))&gt;=4,VALUE(MID(A7,2,2))&lt;9),1.5%,1.75%))</f>
        <v>10080</v>
      </c>
      <c r="G7" s="495">
        <f t="shared" si="3"/>
        <v>420000</v>
      </c>
      <c r="H7" s="495">
        <f t="shared" si="4"/>
        <v>420000</v>
      </c>
    </row>
    <row r="8" spans="1:10">
      <c r="A8" s="473" t="s">
        <v>1373</v>
      </c>
      <c r="B8" s="472" t="str">
        <f t="shared" si="0"/>
        <v>Vải Katê</v>
      </c>
      <c r="C8" s="473">
        <v>180</v>
      </c>
      <c r="D8" s="495">
        <f t="shared" si="1"/>
        <v>1260000</v>
      </c>
      <c r="E8" s="495">
        <f t="shared" si="2"/>
        <v>15120</v>
      </c>
      <c r="F8" s="495">
        <f t="shared" si="5"/>
        <v>15120</v>
      </c>
      <c r="G8" s="495">
        <f t="shared" si="3"/>
        <v>630000</v>
      </c>
      <c r="H8" s="495">
        <f t="shared" si="4"/>
        <v>630000</v>
      </c>
    </row>
    <row r="9" spans="1:10">
      <c r="A9" s="473" t="s">
        <v>1377</v>
      </c>
      <c r="B9" s="472" t="str">
        <f t="shared" si="0"/>
        <v>Vải Katê</v>
      </c>
      <c r="C9" s="473">
        <v>220</v>
      </c>
      <c r="D9" s="495">
        <f t="shared" si="1"/>
        <v>1540000</v>
      </c>
      <c r="E9" s="495">
        <f t="shared" si="2"/>
        <v>26950.000000000004</v>
      </c>
      <c r="F9" s="495">
        <f t="shared" si="5"/>
        <v>26950.000000000004</v>
      </c>
      <c r="G9" s="495">
        <f t="shared" si="3"/>
        <v>770000</v>
      </c>
      <c r="H9" s="495">
        <f t="shared" si="4"/>
        <v>770000</v>
      </c>
    </row>
    <row r="10" spans="1:10">
      <c r="A10" s="473" t="s">
        <v>1376</v>
      </c>
      <c r="B10" s="472" t="str">
        <f t="shared" si="0"/>
        <v>Vải Silk</v>
      </c>
      <c r="C10" s="473">
        <v>180</v>
      </c>
      <c r="D10" s="495">
        <f t="shared" si="1"/>
        <v>5400000</v>
      </c>
      <c r="E10" s="495">
        <f t="shared" si="2"/>
        <v>81000</v>
      </c>
      <c r="F10" s="495">
        <f t="shared" si="5"/>
        <v>81000</v>
      </c>
      <c r="G10" s="495">
        <f t="shared" si="3"/>
        <v>4050000</v>
      </c>
      <c r="H10" s="495">
        <f t="shared" si="4"/>
        <v>1350000</v>
      </c>
    </row>
    <row r="11" spans="1:10">
      <c r="A11" s="473" t="s">
        <v>1372</v>
      </c>
      <c r="B11" s="472" t="str">
        <f t="shared" si="0"/>
        <v>Vải Silk</v>
      </c>
      <c r="C11" s="473">
        <v>200</v>
      </c>
      <c r="D11" s="495">
        <f t="shared" si="1"/>
        <v>6000000</v>
      </c>
      <c r="E11" s="495">
        <f t="shared" si="2"/>
        <v>90000</v>
      </c>
      <c r="F11" s="495">
        <f t="shared" si="5"/>
        <v>90000</v>
      </c>
      <c r="G11" s="495">
        <f t="shared" si="3"/>
        <v>4500000</v>
      </c>
      <c r="H11" s="495">
        <f t="shared" si="4"/>
        <v>1500000</v>
      </c>
    </row>
    <row r="12" spans="1:10">
      <c r="A12" s="473" t="s">
        <v>95</v>
      </c>
      <c r="B12" s="472" t="str">
        <f t="shared" si="0"/>
        <v>Vải Tole</v>
      </c>
      <c r="C12" s="473">
        <v>150</v>
      </c>
      <c r="D12" s="495">
        <f t="shared" si="1"/>
        <v>1800000</v>
      </c>
      <c r="E12" s="495">
        <f t="shared" si="2"/>
        <v>21600</v>
      </c>
      <c r="F12" s="495">
        <f t="shared" si="5"/>
        <v>21600</v>
      </c>
      <c r="G12" s="495">
        <f t="shared" si="3"/>
        <v>900000</v>
      </c>
      <c r="H12" s="495">
        <f t="shared" si="4"/>
        <v>900000</v>
      </c>
    </row>
    <row r="13" spans="1:10">
      <c r="A13" s="473" t="s">
        <v>1375</v>
      </c>
      <c r="B13" s="472" t="str">
        <f t="shared" si="0"/>
        <v>Vải xô</v>
      </c>
      <c r="C13" s="473">
        <v>140</v>
      </c>
      <c r="D13" s="495">
        <f t="shared" si="1"/>
        <v>4900000</v>
      </c>
      <c r="E13" s="495">
        <f t="shared" si="2"/>
        <v>73500</v>
      </c>
      <c r="F13" s="495">
        <f t="shared" si="5"/>
        <v>73500</v>
      </c>
      <c r="G13" s="495">
        <f t="shared" si="3"/>
        <v>2450000</v>
      </c>
      <c r="H13" s="495">
        <f t="shared" si="4"/>
        <v>2450000</v>
      </c>
    </row>
    <row r="14" spans="1:10">
      <c r="A14" s="473" t="s">
        <v>1378</v>
      </c>
      <c r="B14" s="472" t="str">
        <f t="shared" si="0"/>
        <v>Vải xô</v>
      </c>
      <c r="C14" s="473">
        <v>150</v>
      </c>
      <c r="D14" s="495">
        <f t="shared" si="1"/>
        <v>5250000</v>
      </c>
      <c r="E14" s="495">
        <f t="shared" si="2"/>
        <v>91875.000000000015</v>
      </c>
      <c r="F14" s="495">
        <f t="shared" si="5"/>
        <v>91875.000000000015</v>
      </c>
      <c r="G14" s="495">
        <f t="shared" si="3"/>
        <v>3937500</v>
      </c>
      <c r="H14" s="495">
        <f t="shared" si="4"/>
        <v>1312500</v>
      </c>
    </row>
    <row r="15" spans="1:10">
      <c r="A15" s="447"/>
      <c r="B15" s="419"/>
      <c r="C15" s="447"/>
      <c r="D15" s="447"/>
      <c r="E15" s="447"/>
      <c r="F15" s="447"/>
      <c r="G15" s="447"/>
    </row>
    <row r="16" spans="1:10">
      <c r="A16" s="497" t="s">
        <v>1379</v>
      </c>
      <c r="E16" s="497" t="s">
        <v>1394</v>
      </c>
    </row>
    <row r="17" spans="1:16">
      <c r="A17" s="498" t="s">
        <v>1380</v>
      </c>
      <c r="B17" s="498" t="s">
        <v>1030</v>
      </c>
      <c r="C17" s="498" t="s">
        <v>1391</v>
      </c>
      <c r="D17" s="499"/>
      <c r="E17" s="498" t="s">
        <v>1392</v>
      </c>
      <c r="F17" s="500">
        <v>1</v>
      </c>
      <c r="G17" s="500">
        <v>4</v>
      </c>
      <c r="H17" s="500">
        <v>9</v>
      </c>
    </row>
    <row r="18" spans="1:16">
      <c r="A18" s="473" t="s">
        <v>1381</v>
      </c>
      <c r="B18" s="473" t="s">
        <v>1386</v>
      </c>
      <c r="C18" s="473">
        <v>7000</v>
      </c>
      <c r="D18" s="501"/>
      <c r="E18" s="498" t="s">
        <v>1393</v>
      </c>
      <c r="F18" s="502">
        <v>1.2E-2</v>
      </c>
      <c r="G18" s="502">
        <v>1.4999999999999999E-2</v>
      </c>
      <c r="H18" s="502">
        <v>1.7500000000000002E-2</v>
      </c>
    </row>
    <row r="19" spans="1:16">
      <c r="A19" s="473" t="s">
        <v>1382</v>
      </c>
      <c r="B19" s="473" t="s">
        <v>1387</v>
      </c>
      <c r="C19" s="473">
        <v>75000</v>
      </c>
      <c r="D19" s="501"/>
    </row>
    <row r="20" spans="1:16">
      <c r="A20" s="473" t="s">
        <v>1383</v>
      </c>
      <c r="B20" s="473" t="s">
        <v>1388</v>
      </c>
      <c r="C20" s="473">
        <v>12000</v>
      </c>
      <c r="D20" s="501"/>
      <c r="E20" s="20" t="s">
        <v>1396</v>
      </c>
    </row>
    <row r="21" spans="1:16">
      <c r="A21" s="473" t="s">
        <v>1384</v>
      </c>
      <c r="B21" s="473" t="s">
        <v>1389</v>
      </c>
      <c r="C21" s="473">
        <v>30000</v>
      </c>
      <c r="D21" s="501"/>
      <c r="E21" s="20" t="s">
        <v>1397</v>
      </c>
      <c r="J21" s="503" t="s">
        <v>107</v>
      </c>
      <c r="K21" s="503" t="s">
        <v>108</v>
      </c>
      <c r="L21" s="503" t="s">
        <v>109</v>
      </c>
      <c r="M21" s="503" t="s">
        <v>110</v>
      </c>
    </row>
    <row r="22" spans="1:16">
      <c r="A22" s="473" t="s">
        <v>1385</v>
      </c>
      <c r="B22" s="473" t="s">
        <v>1390</v>
      </c>
      <c r="C22" s="473">
        <v>35000</v>
      </c>
      <c r="D22" s="501"/>
      <c r="E22" s="20" t="s">
        <v>1398</v>
      </c>
      <c r="J22" s="504" t="b">
        <f>AND(B6="Vải Katê",1&lt;=VALUE(MID(A6,2,2)),VALUE(MID(A6,2,2))&lt;=3)</f>
        <v>0</v>
      </c>
      <c r="K22" s="504" t="b">
        <f>AND(VALUE(MID(A6,2,2))&gt;=4,VALUE(MID(A6,2,2))&lt;=6,B6="Vải Katê")</f>
        <v>0</v>
      </c>
      <c r="L22" s="504" t="b">
        <f>AND(B6="Vải Tole",VALUE(MID(A6,2,2))&gt;=1,VALUE(MID(A6,2,2))&lt;=3)</f>
        <v>0</v>
      </c>
      <c r="M22" s="504" t="b">
        <f>AND(B6="Vải Tole",VALUE(MID(A6,2,2))&gt;=4,VALUE(MID(A6,2,2))&lt;=6)</f>
        <v>0</v>
      </c>
    </row>
    <row r="24" spans="1:16">
      <c r="B24" s="497" t="s">
        <v>1185</v>
      </c>
      <c r="J24" s="509" t="s">
        <v>112</v>
      </c>
    </row>
    <row r="25" spans="1:16">
      <c r="B25" s="1014" t="s">
        <v>1159</v>
      </c>
      <c r="C25" s="1015"/>
      <c r="D25" s="1016"/>
      <c r="J25" s="509" t="b">
        <f>AND(VALUE(MID(A6,2,2))&gt;=3,B6="Vải Katê")</f>
        <v>0</v>
      </c>
    </row>
    <row r="26" spans="1:16">
      <c r="B26" s="505" t="s">
        <v>1395</v>
      </c>
      <c r="C26" s="472" t="s">
        <v>1399</v>
      </c>
      <c r="D26" s="472" t="s">
        <v>1400</v>
      </c>
      <c r="J26" s="467" t="s">
        <v>1367</v>
      </c>
      <c r="K26" s="467" t="s">
        <v>1030</v>
      </c>
      <c r="L26" s="467" t="s">
        <v>1368</v>
      </c>
      <c r="M26" s="467" t="s">
        <v>1369</v>
      </c>
      <c r="N26" s="467" t="s">
        <v>1061</v>
      </c>
      <c r="O26" s="467" t="s">
        <v>1370</v>
      </c>
      <c r="P26" s="467" t="s">
        <v>1371</v>
      </c>
    </row>
    <row r="27" spans="1:16">
      <c r="B27" s="505" t="s">
        <v>1386</v>
      </c>
      <c r="C27" s="506">
        <f>DSUM($A$5:$H$14,C5,$J$21:$J$22)</f>
        <v>300</v>
      </c>
      <c r="D27" s="506">
        <f>DSUM($A$5:$H$14,C5,$K$21:$K$22)</f>
        <v>0</v>
      </c>
      <c r="J27" s="473" t="s">
        <v>1373</v>
      </c>
      <c r="K27" s="472" t="s">
        <v>1386</v>
      </c>
      <c r="L27" s="473">
        <v>180</v>
      </c>
      <c r="M27" s="495">
        <v>1260000</v>
      </c>
      <c r="N27" s="496">
        <v>15120</v>
      </c>
      <c r="O27" s="495">
        <v>630000</v>
      </c>
      <c r="P27" s="495">
        <v>630000</v>
      </c>
    </row>
    <row r="28" spans="1:16">
      <c r="B28" s="505" t="s">
        <v>1388</v>
      </c>
      <c r="C28" s="506">
        <f>DSUM($A$5:$H$14,C5,$L$21:$L$22)</f>
        <v>150</v>
      </c>
      <c r="D28" s="506">
        <f>DSUM($A$5:$H$14,C5,$M$21:$M$22)</f>
        <v>0</v>
      </c>
      <c r="J28" s="473" t="s">
        <v>1377</v>
      </c>
      <c r="K28" s="472" t="s">
        <v>1386</v>
      </c>
      <c r="L28" s="473">
        <v>220</v>
      </c>
      <c r="M28" s="495">
        <v>1540000</v>
      </c>
      <c r="N28" s="496">
        <v>26950.000000000004</v>
      </c>
      <c r="O28" s="495">
        <v>770000</v>
      </c>
      <c r="P28" s="495">
        <v>770000</v>
      </c>
    </row>
    <row r="29" spans="1:16">
      <c r="A29" s="432" t="s">
        <v>1401</v>
      </c>
      <c r="B29" s="433"/>
      <c r="C29" s="433"/>
      <c r="D29" s="433"/>
      <c r="E29" s="433"/>
      <c r="F29" s="433"/>
      <c r="G29" s="433"/>
      <c r="H29" s="433"/>
      <c r="I29" s="433"/>
    </row>
    <row r="30" spans="1:16">
      <c r="A30" s="468" t="s">
        <v>1478</v>
      </c>
      <c r="B30" s="433"/>
      <c r="C30" s="433"/>
      <c r="D30" s="433"/>
      <c r="E30" s="433"/>
      <c r="F30" s="433"/>
      <c r="G30" s="433"/>
      <c r="H30" s="433"/>
      <c r="I30" s="433"/>
    </row>
    <row r="31" spans="1:16">
      <c r="A31" s="433" t="s">
        <v>1479</v>
      </c>
      <c r="B31" s="433"/>
      <c r="C31" s="433"/>
      <c r="D31" s="433"/>
      <c r="E31" s="433"/>
      <c r="F31" s="433"/>
      <c r="G31" s="433"/>
      <c r="H31" s="433"/>
      <c r="I31" s="433"/>
    </row>
    <row r="32" spans="1:16">
      <c r="A32" s="468" t="s">
        <v>1402</v>
      </c>
      <c r="B32" s="433"/>
      <c r="C32" s="433"/>
      <c r="D32" s="433"/>
      <c r="E32" s="433"/>
      <c r="F32" s="433"/>
      <c r="G32" s="433"/>
      <c r="H32" s="433"/>
      <c r="I32" s="433"/>
    </row>
    <row r="33" spans="1:9">
      <c r="A33" s="433" t="s">
        <v>1403</v>
      </c>
      <c r="B33" s="433"/>
      <c r="C33" s="433"/>
      <c r="D33" s="433"/>
      <c r="E33" s="433"/>
      <c r="F33" s="433"/>
      <c r="G33" s="433"/>
      <c r="H33" s="433"/>
      <c r="I33" s="433"/>
    </row>
    <row r="34" spans="1:9">
      <c r="A34" s="432" t="s">
        <v>1354</v>
      </c>
      <c r="B34" s="433"/>
      <c r="C34" s="433"/>
      <c r="D34" s="433"/>
      <c r="E34" s="433"/>
      <c r="F34" s="433"/>
      <c r="G34" s="433"/>
      <c r="H34" s="433"/>
      <c r="I34" s="433"/>
    </row>
    <row r="35" spans="1:9">
      <c r="A35" s="507" t="s">
        <v>1404</v>
      </c>
      <c r="B35" s="433"/>
      <c r="C35" s="433"/>
      <c r="D35" s="433"/>
      <c r="E35" s="433"/>
      <c r="F35" s="433"/>
      <c r="G35" s="433"/>
      <c r="H35" s="433"/>
      <c r="I35" s="433"/>
    </row>
    <row r="36" spans="1:9">
      <c r="A36" s="507" t="s">
        <v>1405</v>
      </c>
      <c r="B36" s="433"/>
      <c r="C36" s="433"/>
      <c r="D36" s="433"/>
      <c r="E36" s="433"/>
      <c r="F36" s="433"/>
      <c r="G36" s="433"/>
      <c r="H36" s="433"/>
      <c r="I36" s="433"/>
    </row>
    <row r="37" spans="1:9">
      <c r="A37" s="507" t="s">
        <v>1406</v>
      </c>
      <c r="B37" s="433"/>
      <c r="C37" s="433"/>
      <c r="D37" s="433"/>
      <c r="E37" s="433"/>
      <c r="F37" s="433"/>
      <c r="G37" s="433"/>
      <c r="H37" s="433"/>
      <c r="I37" s="433"/>
    </row>
    <row r="38" spans="1:9">
      <c r="A38" s="508" t="s">
        <v>1221</v>
      </c>
      <c r="B38" s="433"/>
      <c r="C38" s="433"/>
      <c r="D38" s="433"/>
      <c r="E38" s="433"/>
      <c r="F38" s="433"/>
      <c r="G38" s="433"/>
      <c r="H38" s="433"/>
      <c r="I38" s="433"/>
    </row>
    <row r="39" spans="1:9" ht="14.25" customHeight="1">
      <c r="A39" s="433" t="s">
        <v>1409</v>
      </c>
      <c r="B39" s="433"/>
      <c r="C39" s="433"/>
      <c r="D39" s="433"/>
      <c r="E39" s="433"/>
      <c r="F39" s="433"/>
      <c r="G39" s="433"/>
      <c r="H39" s="433"/>
      <c r="I39" s="433"/>
    </row>
    <row r="40" spans="1:9" ht="14.25" customHeight="1">
      <c r="A40" s="433" t="s">
        <v>1410</v>
      </c>
      <c r="B40" s="433"/>
      <c r="C40" s="433"/>
      <c r="D40" s="433"/>
      <c r="E40" s="433"/>
      <c r="F40" s="433"/>
      <c r="G40" s="433"/>
      <c r="H40" s="433"/>
      <c r="I40" s="433"/>
    </row>
    <row r="41" spans="1:9" ht="14.25" customHeight="1">
      <c r="A41" s="433"/>
      <c r="B41" s="468" t="s">
        <v>1411</v>
      </c>
      <c r="C41" s="433"/>
      <c r="D41" s="433"/>
      <c r="E41" s="433"/>
      <c r="F41" s="433"/>
      <c r="G41" s="433"/>
      <c r="H41" s="433"/>
      <c r="I41" s="433"/>
    </row>
    <row r="42" spans="1:9" ht="14.25" customHeight="1">
      <c r="A42" s="433" t="s">
        <v>1412</v>
      </c>
      <c r="B42" s="433"/>
      <c r="C42" s="433"/>
      <c r="D42" s="433"/>
      <c r="E42" s="433"/>
      <c r="F42" s="433"/>
      <c r="G42" s="433"/>
      <c r="H42" s="433"/>
      <c r="I42" s="433"/>
    </row>
    <row r="43" spans="1:9" ht="14.25" customHeight="1">
      <c r="A43" s="433"/>
      <c r="B43" s="468" t="s">
        <v>1413</v>
      </c>
      <c r="C43" s="433"/>
      <c r="D43" s="433"/>
      <c r="E43" s="433"/>
      <c r="F43" s="433"/>
      <c r="G43" s="433"/>
      <c r="H43" s="433"/>
      <c r="I43" s="433"/>
    </row>
    <row r="44" spans="1:9" ht="14.25" customHeight="1">
      <c r="A44" s="433" t="s">
        <v>1414</v>
      </c>
      <c r="B44" s="433"/>
      <c r="C44" s="433"/>
      <c r="D44" s="433"/>
      <c r="E44" s="433"/>
      <c r="F44" s="433"/>
      <c r="G44" s="433"/>
      <c r="H44" s="433"/>
      <c r="I44" s="433"/>
    </row>
    <row r="45" spans="1:9" ht="14.25" customHeight="1">
      <c r="A45" s="433"/>
      <c r="B45" s="468" t="s">
        <v>1415</v>
      </c>
      <c r="C45" s="433"/>
      <c r="D45" s="433"/>
      <c r="E45" s="433"/>
      <c r="F45" s="433"/>
      <c r="G45" s="433"/>
      <c r="H45" s="433"/>
      <c r="I45" s="433"/>
    </row>
    <row r="46" spans="1:9" ht="14.25" customHeight="1">
      <c r="A46" s="433"/>
      <c r="B46" s="433" t="s">
        <v>111</v>
      </c>
      <c r="C46" s="433"/>
      <c r="D46" s="433"/>
      <c r="E46" s="433"/>
      <c r="F46" s="433"/>
      <c r="G46" s="433"/>
      <c r="H46" s="433"/>
      <c r="I46" s="433"/>
    </row>
    <row r="47" spans="1:9" ht="14.25" customHeight="1">
      <c r="A47" s="433" t="s">
        <v>1416</v>
      </c>
      <c r="B47" s="433"/>
      <c r="C47" s="433"/>
      <c r="D47" s="433"/>
      <c r="E47" s="433"/>
      <c r="F47" s="433"/>
      <c r="G47" s="433"/>
      <c r="H47" s="433"/>
      <c r="I47" s="433"/>
    </row>
    <row r="48" spans="1:9" ht="16.5" customHeight="1">
      <c r="A48" s="433" t="s">
        <v>1480</v>
      </c>
      <c r="B48" s="433"/>
      <c r="C48" s="433"/>
      <c r="D48" s="433"/>
      <c r="E48" s="433"/>
      <c r="F48" s="433"/>
      <c r="G48" s="433"/>
      <c r="H48" s="433"/>
      <c r="I48" s="433"/>
    </row>
    <row r="49" spans="1:9" ht="16.5" customHeight="1">
      <c r="A49" s="433" t="s">
        <v>1481</v>
      </c>
      <c r="B49" s="433"/>
      <c r="C49" s="433"/>
      <c r="D49" s="433"/>
      <c r="E49" s="433"/>
      <c r="F49" s="433"/>
      <c r="G49" s="433"/>
      <c r="H49" s="433"/>
      <c r="I49" s="433"/>
    </row>
    <row r="50" spans="1:9" ht="15.75" customHeight="1">
      <c r="A50" s="433" t="s">
        <v>1417</v>
      </c>
      <c r="B50" s="433"/>
      <c r="C50" s="433"/>
      <c r="D50" s="433"/>
      <c r="E50" s="433"/>
      <c r="F50" s="433"/>
      <c r="G50" s="433"/>
      <c r="H50" s="433"/>
      <c r="I50" s="433"/>
    </row>
    <row r="51" spans="1:9" ht="17.25" customHeight="1">
      <c r="A51" s="433" t="s">
        <v>48</v>
      </c>
      <c r="B51" s="433"/>
      <c r="C51" s="433"/>
      <c r="D51" s="433"/>
      <c r="E51" s="433"/>
      <c r="F51" s="433"/>
      <c r="G51" s="433"/>
      <c r="H51" s="433"/>
      <c r="I51" s="433"/>
    </row>
    <row r="52" spans="1:9" ht="16.5" customHeight="1">
      <c r="A52" s="433" t="s">
        <v>849</v>
      </c>
      <c r="B52" s="433"/>
      <c r="C52" s="433"/>
      <c r="D52" s="433"/>
      <c r="E52" s="433"/>
      <c r="F52" s="433"/>
      <c r="G52" s="433"/>
      <c r="H52" s="433"/>
      <c r="I52" s="433"/>
    </row>
  </sheetData>
  <mergeCells count="1">
    <mergeCell ref="B25:D25"/>
  </mergeCells>
  <phoneticPr fontId="2" type="noConversion"/>
  <pageMargins left="0.5" right="0.5" top="0.25" bottom="0.25" header="0.5" footer="0.5"/>
  <pageSetup orientation="portrait"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75A5D-CADD-459C-9A15-62D7E65BCFF6}">
  <dimension ref="A1:M47"/>
  <sheetViews>
    <sheetView workbookViewId="0">
      <selection activeCell="L1" sqref="L1"/>
    </sheetView>
  </sheetViews>
  <sheetFormatPr defaultRowHeight="15.75"/>
  <cols>
    <col min="1" max="1" width="12.28515625" style="20" customWidth="1"/>
    <col min="2" max="2" width="9.7109375" style="20" customWidth="1"/>
    <col min="3" max="3" width="9.140625" style="20"/>
    <col min="4" max="4" width="9.5703125" style="20" customWidth="1"/>
    <col min="5" max="5" width="11.28515625" style="20" bestFit="1" customWidth="1"/>
    <col min="6" max="6" width="9.140625" style="20"/>
    <col min="7" max="7" width="7.7109375" style="20" customWidth="1"/>
    <col min="8" max="8" width="9.140625" style="20"/>
    <col min="9" max="9" width="15" style="20" customWidth="1"/>
    <col min="10" max="10" width="7.28515625" style="20" customWidth="1"/>
    <col min="11" max="11" width="7" style="20" customWidth="1"/>
    <col min="12" max="12" width="11" style="20" customWidth="1"/>
    <col min="13" max="13" width="7" style="20" customWidth="1"/>
    <col min="14" max="15" width="6.85546875" style="20" customWidth="1"/>
    <col min="16" max="16384" width="9.140625" style="20"/>
  </cols>
  <sheetData>
    <row r="1" spans="1:13">
      <c r="A1" s="456" t="s">
        <v>1421</v>
      </c>
      <c r="L1" s="886" t="s">
        <v>1991</v>
      </c>
      <c r="M1" s="145"/>
    </row>
    <row r="2" spans="1:13">
      <c r="D2" s="420" t="s">
        <v>962</v>
      </c>
      <c r="E2" s="542">
        <f>DATE(2011,10,11)</f>
        <v>40827</v>
      </c>
      <c r="F2" s="25"/>
      <c r="G2" s="25"/>
      <c r="H2" s="25"/>
      <c r="I2" s="25"/>
    </row>
    <row r="3" spans="1:13" ht="47.25" customHeight="1">
      <c r="A3" s="73" t="s">
        <v>1073</v>
      </c>
      <c r="B3" s="73" t="s">
        <v>1425</v>
      </c>
      <c r="C3" s="73" t="s">
        <v>1426</v>
      </c>
      <c r="D3" s="73" t="s">
        <v>1427</v>
      </c>
      <c r="E3" s="73" t="s">
        <v>1428</v>
      </c>
      <c r="F3" s="73" t="s">
        <v>98</v>
      </c>
      <c r="G3" s="73" t="s">
        <v>99</v>
      </c>
      <c r="H3" s="73" t="s">
        <v>1239</v>
      </c>
      <c r="I3" s="73" t="s">
        <v>100</v>
      </c>
      <c r="J3" s="73" t="s">
        <v>1019</v>
      </c>
      <c r="K3" s="73" t="s">
        <v>968</v>
      </c>
      <c r="L3" s="73" t="s">
        <v>1429</v>
      </c>
    </row>
    <row r="4" spans="1:13">
      <c r="A4" s="75">
        <v>1</v>
      </c>
      <c r="B4" s="76" t="s">
        <v>1001</v>
      </c>
      <c r="C4" s="75" t="s">
        <v>1438</v>
      </c>
      <c r="D4" s="543" t="s">
        <v>1448</v>
      </c>
      <c r="E4" s="75">
        <v>300</v>
      </c>
      <c r="F4" s="544">
        <f>E4*VLOOKUP(RIGHT(D4,3),$A$16:$C$19,IF(LEFT(D4,2)="SX",2,3),0)</f>
        <v>54000</v>
      </c>
      <c r="G4" s="545">
        <f>IF(MID(C4,3,2)="DH",F4*5%,0)</f>
        <v>2700</v>
      </c>
      <c r="H4" s="546">
        <f>HLOOKUP(VALUE(RIGHT(C4,1)),$F$15:$L$16,2,0)</f>
        <v>1.2</v>
      </c>
      <c r="I4" s="545">
        <f>IF(LEFT(D4,2)="QL",F4*H4,F4)</f>
        <v>54000</v>
      </c>
      <c r="J4" s="546">
        <f>IF(VALUE(RIGHT(C4,1))&gt;=5,I4*1/3,1/5*I4)</f>
        <v>10800</v>
      </c>
      <c r="K4" s="546">
        <f t="shared" ref="K4:K13" si="0">IF(I4&gt;50000,(I4-12000)*30%,0)</f>
        <v>12600</v>
      </c>
      <c r="L4" s="545">
        <f>I4-(G4+J4)</f>
        <v>40500</v>
      </c>
    </row>
    <row r="5" spans="1:13">
      <c r="A5" s="75">
        <v>2</v>
      </c>
      <c r="B5" s="76" t="s">
        <v>1430</v>
      </c>
      <c r="C5" s="75" t="s">
        <v>1439</v>
      </c>
      <c r="D5" s="543" t="s">
        <v>1449</v>
      </c>
      <c r="E5" s="75">
        <v>150</v>
      </c>
      <c r="F5" s="546">
        <f t="shared" ref="F5:F13" si="1">E5*VLOOKUP(RIGHT(D5,3),$A$16:$C$19,IF(LEFT(D5,2)="SX",2,3),0)</f>
        <v>16500</v>
      </c>
      <c r="G5" s="545">
        <f t="shared" ref="G5:G13" si="2">IF(MID(C5,3,2)="DH",F5*5%,0)</f>
        <v>0</v>
      </c>
      <c r="H5" s="546">
        <f t="shared" ref="H5:H13" si="3">HLOOKUP(VALUE(RIGHT(C5,1)),$F$15:$L$16,2,0)</f>
        <v>1.06</v>
      </c>
      <c r="I5" s="545">
        <f t="shared" ref="I5:I13" si="4">IF(LEFT(D5,2)="QL",F5*H5,F5)</f>
        <v>16500</v>
      </c>
      <c r="J5" s="546">
        <f t="shared" ref="J5:J13" si="5">IF(VALUE(RIGHT(C5,1))&gt;=5,I5*1/3,1/5*I5)</f>
        <v>3300</v>
      </c>
      <c r="K5" s="546">
        <f t="shared" si="0"/>
        <v>0</v>
      </c>
      <c r="L5" s="545">
        <f t="shared" ref="L5:L13" si="6">I5-(G5+J5)</f>
        <v>13200</v>
      </c>
    </row>
    <row r="6" spans="1:13">
      <c r="A6" s="75">
        <v>3</v>
      </c>
      <c r="B6" s="76" t="s">
        <v>1431</v>
      </c>
      <c r="C6" s="75" t="s">
        <v>1440</v>
      </c>
      <c r="D6" s="543" t="s">
        <v>1450</v>
      </c>
      <c r="E6" s="75">
        <v>100</v>
      </c>
      <c r="F6" s="546">
        <f t="shared" si="1"/>
        <v>18500</v>
      </c>
      <c r="G6" s="545">
        <f t="shared" si="2"/>
        <v>0</v>
      </c>
      <c r="H6" s="546">
        <f t="shared" si="3"/>
        <v>1.36</v>
      </c>
      <c r="I6" s="545">
        <f t="shared" si="4"/>
        <v>25160</v>
      </c>
      <c r="J6" s="546">
        <f t="shared" si="5"/>
        <v>8386.6666666666661</v>
      </c>
      <c r="K6" s="546">
        <f t="shared" si="0"/>
        <v>0</v>
      </c>
      <c r="L6" s="545">
        <f t="shared" si="6"/>
        <v>16773.333333333336</v>
      </c>
    </row>
    <row r="7" spans="1:13">
      <c r="A7" s="75">
        <v>4</v>
      </c>
      <c r="B7" s="76" t="s">
        <v>1432</v>
      </c>
      <c r="C7" s="75" t="s">
        <v>1441</v>
      </c>
      <c r="D7" s="543" t="s">
        <v>1451</v>
      </c>
      <c r="E7" s="75">
        <v>100</v>
      </c>
      <c r="F7" s="546">
        <f t="shared" si="1"/>
        <v>12000</v>
      </c>
      <c r="G7" s="545">
        <f t="shared" si="2"/>
        <v>600</v>
      </c>
      <c r="H7" s="546">
        <f t="shared" si="3"/>
        <v>1.2</v>
      </c>
      <c r="I7" s="545">
        <f t="shared" si="4"/>
        <v>14400</v>
      </c>
      <c r="J7" s="546">
        <f t="shared" si="5"/>
        <v>2880</v>
      </c>
      <c r="K7" s="546">
        <f t="shared" si="0"/>
        <v>0</v>
      </c>
      <c r="L7" s="545">
        <f t="shared" si="6"/>
        <v>10920</v>
      </c>
    </row>
    <row r="8" spans="1:13">
      <c r="A8" s="75">
        <v>5</v>
      </c>
      <c r="B8" s="76" t="s">
        <v>1433</v>
      </c>
      <c r="C8" s="75" t="s">
        <v>1442</v>
      </c>
      <c r="D8" s="543" t="s">
        <v>1452</v>
      </c>
      <c r="E8" s="75">
        <v>180</v>
      </c>
      <c r="F8" s="546">
        <f t="shared" si="1"/>
        <v>27000</v>
      </c>
      <c r="G8" s="545">
        <f t="shared" si="2"/>
        <v>0</v>
      </c>
      <c r="H8" s="546">
        <f t="shared" si="3"/>
        <v>1.06</v>
      </c>
      <c r="I8" s="545">
        <f t="shared" si="4"/>
        <v>27000</v>
      </c>
      <c r="J8" s="546">
        <f t="shared" si="5"/>
        <v>5400</v>
      </c>
      <c r="K8" s="546">
        <f t="shared" si="0"/>
        <v>0</v>
      </c>
      <c r="L8" s="545">
        <f t="shared" si="6"/>
        <v>21600</v>
      </c>
    </row>
    <row r="9" spans="1:13">
      <c r="A9" s="75">
        <v>6</v>
      </c>
      <c r="B9" s="76" t="s">
        <v>1434</v>
      </c>
      <c r="C9" s="75" t="s">
        <v>1443</v>
      </c>
      <c r="D9" s="543" t="s">
        <v>1452</v>
      </c>
      <c r="E9" s="75">
        <v>390</v>
      </c>
      <c r="F9" s="546">
        <f t="shared" si="1"/>
        <v>58500</v>
      </c>
      <c r="G9" s="545">
        <f t="shared" si="2"/>
        <v>2925</v>
      </c>
      <c r="H9" s="546">
        <f t="shared" si="3"/>
        <v>1.06</v>
      </c>
      <c r="I9" s="545">
        <f t="shared" si="4"/>
        <v>58500</v>
      </c>
      <c r="J9" s="546">
        <f t="shared" si="5"/>
        <v>11700</v>
      </c>
      <c r="K9" s="546">
        <f t="shared" si="0"/>
        <v>13950</v>
      </c>
      <c r="L9" s="545">
        <f t="shared" si="6"/>
        <v>43875</v>
      </c>
    </row>
    <row r="10" spans="1:13">
      <c r="A10" s="75">
        <v>7</v>
      </c>
      <c r="B10" s="76" t="s">
        <v>1307</v>
      </c>
      <c r="C10" s="75" t="s">
        <v>1444</v>
      </c>
      <c r="D10" s="543" t="s">
        <v>1448</v>
      </c>
      <c r="E10" s="75">
        <v>300</v>
      </c>
      <c r="F10" s="546">
        <f t="shared" si="1"/>
        <v>54000</v>
      </c>
      <c r="G10" s="545">
        <f t="shared" si="2"/>
        <v>2700</v>
      </c>
      <c r="H10" s="546">
        <f t="shared" si="3"/>
        <v>1.02</v>
      </c>
      <c r="I10" s="545">
        <f t="shared" si="4"/>
        <v>54000</v>
      </c>
      <c r="J10" s="546">
        <f t="shared" si="5"/>
        <v>10800</v>
      </c>
      <c r="K10" s="546">
        <f t="shared" si="0"/>
        <v>12600</v>
      </c>
      <c r="L10" s="545">
        <f t="shared" si="6"/>
        <v>40500</v>
      </c>
    </row>
    <row r="11" spans="1:13">
      <c r="A11" s="75">
        <v>8</v>
      </c>
      <c r="B11" s="76" t="s">
        <v>1435</v>
      </c>
      <c r="C11" s="75" t="s">
        <v>1445</v>
      </c>
      <c r="D11" s="543" t="s">
        <v>1454</v>
      </c>
      <c r="E11" s="75">
        <v>120</v>
      </c>
      <c r="F11" s="546">
        <f t="shared" si="1"/>
        <v>18000</v>
      </c>
      <c r="G11" s="545">
        <f t="shared" si="2"/>
        <v>900</v>
      </c>
      <c r="H11" s="546">
        <f t="shared" si="3"/>
        <v>1.45</v>
      </c>
      <c r="I11" s="545">
        <f t="shared" si="4"/>
        <v>26100</v>
      </c>
      <c r="J11" s="546">
        <f t="shared" si="5"/>
        <v>8700</v>
      </c>
      <c r="K11" s="546">
        <f t="shared" si="0"/>
        <v>0</v>
      </c>
      <c r="L11" s="545">
        <f t="shared" si="6"/>
        <v>16500</v>
      </c>
    </row>
    <row r="12" spans="1:13">
      <c r="A12" s="75">
        <v>9</v>
      </c>
      <c r="B12" s="76" t="s">
        <v>1436</v>
      </c>
      <c r="C12" s="75" t="s">
        <v>1446</v>
      </c>
      <c r="D12" s="543" t="s">
        <v>1455</v>
      </c>
      <c r="E12" s="75">
        <v>100</v>
      </c>
      <c r="F12" s="546">
        <f t="shared" si="1"/>
        <v>21500</v>
      </c>
      <c r="G12" s="545">
        <f t="shared" si="2"/>
        <v>0</v>
      </c>
      <c r="H12" s="546">
        <f t="shared" si="3"/>
        <v>1.28</v>
      </c>
      <c r="I12" s="545">
        <f t="shared" si="4"/>
        <v>27520</v>
      </c>
      <c r="J12" s="546">
        <f t="shared" si="5"/>
        <v>9173.3333333333339</v>
      </c>
      <c r="K12" s="546">
        <f t="shared" si="0"/>
        <v>0</v>
      </c>
      <c r="L12" s="545">
        <f t="shared" si="6"/>
        <v>18346.666666666664</v>
      </c>
    </row>
    <row r="13" spans="1:13">
      <c r="A13" s="75">
        <v>10</v>
      </c>
      <c r="B13" s="76" t="s">
        <v>1437</v>
      </c>
      <c r="C13" s="75" t="s">
        <v>1447</v>
      </c>
      <c r="D13" s="543" t="s">
        <v>1453</v>
      </c>
      <c r="E13" s="75">
        <v>290</v>
      </c>
      <c r="F13" s="546">
        <f t="shared" si="1"/>
        <v>58000</v>
      </c>
      <c r="G13" s="545">
        <f t="shared" si="2"/>
        <v>0</v>
      </c>
      <c r="H13" s="546">
        <f t="shared" si="3"/>
        <v>1.1299999999999999</v>
      </c>
      <c r="I13" s="545">
        <f t="shared" si="4"/>
        <v>58000</v>
      </c>
      <c r="J13" s="546">
        <f t="shared" si="5"/>
        <v>11600</v>
      </c>
      <c r="K13" s="546">
        <f t="shared" si="0"/>
        <v>13800</v>
      </c>
      <c r="L13" s="545">
        <f t="shared" si="6"/>
        <v>46400</v>
      </c>
    </row>
    <row r="14" spans="1:13">
      <c r="A14" s="1017" t="s">
        <v>1458</v>
      </c>
      <c r="B14" s="1017"/>
      <c r="C14" s="1017"/>
      <c r="D14" s="598"/>
      <c r="E14" s="1018" t="s">
        <v>1465</v>
      </c>
      <c r="F14" s="1018"/>
      <c r="G14" s="1018"/>
      <c r="H14" s="1018"/>
      <c r="I14" s="1018"/>
      <c r="J14" s="1018"/>
      <c r="K14" s="1018"/>
      <c r="L14" s="1018"/>
    </row>
    <row r="15" spans="1:13">
      <c r="A15" s="595"/>
      <c r="B15" s="595" t="s">
        <v>1459</v>
      </c>
      <c r="C15" s="595" t="s">
        <v>1460</v>
      </c>
      <c r="E15" s="596" t="s">
        <v>1466</v>
      </c>
      <c r="F15" s="597">
        <v>1</v>
      </c>
      <c r="G15" s="597">
        <v>2</v>
      </c>
      <c r="H15" s="597">
        <v>3</v>
      </c>
      <c r="I15" s="597">
        <v>4</v>
      </c>
      <c r="J15" s="597">
        <v>5</v>
      </c>
      <c r="K15" s="597">
        <v>6</v>
      </c>
      <c r="L15" s="597">
        <v>7</v>
      </c>
    </row>
    <row r="16" spans="1:13">
      <c r="A16" s="75" t="s">
        <v>1461</v>
      </c>
      <c r="B16" s="76">
        <v>180</v>
      </c>
      <c r="C16" s="75">
        <v>185</v>
      </c>
      <c r="E16" s="543" t="s">
        <v>1467</v>
      </c>
      <c r="F16" s="77">
        <v>1.02</v>
      </c>
      <c r="G16" s="77">
        <v>1.06</v>
      </c>
      <c r="H16" s="77">
        <v>1.1299999999999999</v>
      </c>
      <c r="I16" s="77">
        <v>1.2</v>
      </c>
      <c r="J16" s="77">
        <v>1.28</v>
      </c>
      <c r="K16" s="77">
        <v>1.36</v>
      </c>
      <c r="L16" s="77">
        <v>1.45</v>
      </c>
    </row>
    <row r="17" spans="1:12">
      <c r="A17" s="75" t="s">
        <v>1462</v>
      </c>
      <c r="B17" s="76">
        <v>110</v>
      </c>
      <c r="C17" s="75">
        <v>120</v>
      </c>
    </row>
    <row r="18" spans="1:12">
      <c r="A18" s="75" t="s">
        <v>1463</v>
      </c>
      <c r="B18" s="76">
        <v>150</v>
      </c>
      <c r="C18" s="75">
        <v>150</v>
      </c>
      <c r="D18" s="547"/>
      <c r="E18" s="419"/>
      <c r="F18" s="419"/>
      <c r="G18" s="419"/>
      <c r="H18" s="419"/>
      <c r="I18" s="419"/>
      <c r="J18" s="419"/>
      <c r="K18" s="447"/>
      <c r="L18" s="447"/>
    </row>
    <row r="19" spans="1:12">
      <c r="A19" s="75" t="s">
        <v>1464</v>
      </c>
      <c r="B19" s="76">
        <v>200</v>
      </c>
      <c r="C19" s="75">
        <v>215</v>
      </c>
      <c r="D19" s="547"/>
    </row>
    <row r="20" spans="1:12" ht="16.5" customHeight="1">
      <c r="A20" s="548" t="s">
        <v>851</v>
      </c>
      <c r="B20" s="433"/>
      <c r="C20" s="433"/>
      <c r="D20" s="433"/>
      <c r="E20" s="433"/>
      <c r="F20" s="433"/>
      <c r="G20" s="433"/>
      <c r="H20" s="433"/>
      <c r="I20" s="433"/>
    </row>
    <row r="21" spans="1:12">
      <c r="A21" s="433" t="s">
        <v>1456</v>
      </c>
      <c r="B21" s="433"/>
      <c r="C21" s="433"/>
      <c r="D21" s="433"/>
      <c r="E21" s="433"/>
      <c r="F21" s="433"/>
      <c r="G21" s="433"/>
      <c r="H21" s="433"/>
      <c r="I21" s="433"/>
    </row>
    <row r="22" spans="1:12">
      <c r="A22" s="433" t="s">
        <v>100</v>
      </c>
      <c r="B22" s="433"/>
      <c r="C22" s="433"/>
      <c r="D22" s="433"/>
      <c r="E22" s="433"/>
      <c r="F22" s="433"/>
      <c r="G22" s="433"/>
      <c r="H22" s="433"/>
      <c r="I22" s="433"/>
    </row>
    <row r="23" spans="1:12" ht="17.25" customHeight="1">
      <c r="A23" s="433" t="s">
        <v>1457</v>
      </c>
      <c r="B23" s="433"/>
      <c r="C23" s="433"/>
      <c r="D23" s="433"/>
      <c r="E23" s="433"/>
      <c r="F23" s="433"/>
      <c r="G23" s="433"/>
      <c r="H23" s="433"/>
      <c r="I23" s="433"/>
    </row>
    <row r="24" spans="1:12">
      <c r="A24" s="433" t="s">
        <v>101</v>
      </c>
      <c r="B24" s="433"/>
      <c r="C24" s="433"/>
      <c r="D24" s="433"/>
      <c r="E24" s="433"/>
      <c r="F24" s="433"/>
      <c r="G24" s="433"/>
      <c r="H24" s="433"/>
      <c r="I24" s="433"/>
    </row>
    <row r="25" spans="1:12" ht="18" customHeight="1">
      <c r="A25" s="433" t="s">
        <v>1468</v>
      </c>
      <c r="B25" s="433"/>
      <c r="C25" s="433"/>
      <c r="D25" s="433"/>
      <c r="E25" s="433"/>
      <c r="F25" s="433"/>
      <c r="G25" s="433"/>
      <c r="H25" s="433"/>
      <c r="I25" s="433"/>
    </row>
    <row r="26" spans="1:12">
      <c r="A26" s="433" t="s">
        <v>1469</v>
      </c>
      <c r="B26" s="433"/>
      <c r="C26" s="433"/>
      <c r="D26" s="433"/>
      <c r="E26" s="433"/>
      <c r="F26" s="433"/>
      <c r="G26" s="433"/>
      <c r="H26" s="433"/>
      <c r="I26" s="433"/>
    </row>
    <row r="27" spans="1:12">
      <c r="A27" s="433" t="s">
        <v>1470</v>
      </c>
      <c r="B27" s="433"/>
      <c r="C27" s="433"/>
      <c r="D27" s="433"/>
      <c r="E27" s="433"/>
      <c r="F27" s="433"/>
      <c r="G27" s="433"/>
      <c r="H27" s="433"/>
      <c r="I27" s="433"/>
    </row>
    <row r="28" spans="1:12" ht="18" customHeight="1">
      <c r="A28" s="433" t="s">
        <v>1477</v>
      </c>
      <c r="B28" s="433"/>
      <c r="C28" s="433"/>
      <c r="D28" s="433"/>
      <c r="E28" s="433"/>
      <c r="F28" s="433"/>
      <c r="G28" s="433"/>
      <c r="H28" s="433"/>
      <c r="I28" s="433"/>
    </row>
    <row r="29" spans="1:12" ht="18" customHeight="1">
      <c r="A29" s="433" t="s">
        <v>1471</v>
      </c>
      <c r="B29" s="433"/>
      <c r="C29" s="433"/>
      <c r="D29" s="433"/>
      <c r="E29" s="433"/>
      <c r="F29" s="433"/>
      <c r="G29" s="433"/>
      <c r="H29" s="433"/>
      <c r="I29" s="433"/>
    </row>
    <row r="30" spans="1:12">
      <c r="A30" s="433" t="s">
        <v>1472</v>
      </c>
      <c r="B30" s="433"/>
      <c r="C30" s="433"/>
      <c r="D30" s="433"/>
      <c r="E30" s="433"/>
      <c r="F30" s="433"/>
      <c r="G30" s="433"/>
      <c r="H30" s="433"/>
      <c r="I30" s="433"/>
    </row>
    <row r="31" spans="1:12" ht="17.25" customHeight="1">
      <c r="A31" s="433" t="s">
        <v>1473</v>
      </c>
      <c r="B31" s="433"/>
      <c r="C31" s="433"/>
      <c r="D31" s="433"/>
      <c r="E31" s="433"/>
      <c r="F31" s="433"/>
      <c r="G31" s="433"/>
      <c r="H31" s="433"/>
      <c r="I31" s="433"/>
    </row>
    <row r="32" spans="1:12">
      <c r="A32" s="433" t="s">
        <v>1474</v>
      </c>
      <c r="B32" s="433"/>
      <c r="C32" s="433"/>
      <c r="D32" s="433"/>
      <c r="E32" s="433"/>
      <c r="F32" s="433"/>
      <c r="G32" s="433"/>
      <c r="H32" s="433"/>
      <c r="I32" s="433"/>
    </row>
    <row r="33" spans="1:12" ht="15.75" customHeight="1">
      <c r="A33" s="433" t="s">
        <v>924</v>
      </c>
      <c r="B33" s="433"/>
      <c r="C33" s="433"/>
      <c r="D33" s="433"/>
      <c r="E33" s="433"/>
      <c r="F33" s="433"/>
      <c r="G33" s="433"/>
      <c r="H33" s="433"/>
      <c r="I33" s="433"/>
    </row>
    <row r="34" spans="1:12">
      <c r="A34" s="433" t="s">
        <v>925</v>
      </c>
      <c r="B34" s="433"/>
      <c r="C34" s="433"/>
      <c r="D34" s="433"/>
      <c r="E34" s="433"/>
      <c r="F34" s="433"/>
      <c r="G34" s="433"/>
      <c r="H34" s="433"/>
      <c r="I34" s="433"/>
    </row>
    <row r="35" spans="1:12" ht="18" customHeight="1">
      <c r="A35" s="433" t="s">
        <v>1475</v>
      </c>
      <c r="B35" s="433"/>
      <c r="C35" s="433"/>
      <c r="D35" s="433"/>
      <c r="E35" s="433"/>
      <c r="F35" s="433"/>
      <c r="G35" s="433"/>
      <c r="H35" s="433"/>
      <c r="I35" s="433"/>
    </row>
    <row r="36" spans="1:12" ht="18" customHeight="1">
      <c r="A36" s="433" t="s">
        <v>927</v>
      </c>
      <c r="B36" s="433"/>
      <c r="C36" s="433"/>
      <c r="D36" s="433"/>
      <c r="E36" s="433"/>
      <c r="F36" s="433"/>
      <c r="G36" s="433"/>
      <c r="H36" s="433"/>
      <c r="I36" s="433"/>
    </row>
    <row r="37" spans="1:12" ht="18.75" customHeight="1">
      <c r="A37" s="433" t="s">
        <v>1476</v>
      </c>
      <c r="B37" s="433"/>
      <c r="C37" s="433"/>
      <c r="D37" s="433"/>
      <c r="E37" s="433"/>
      <c r="F37" s="433"/>
      <c r="G37" s="433"/>
      <c r="H37" s="433"/>
      <c r="I37" s="433"/>
    </row>
    <row r="38" spans="1:12" ht="18" customHeight="1">
      <c r="A38" s="433" t="s">
        <v>852</v>
      </c>
      <c r="B38" s="433"/>
      <c r="C38" s="433"/>
      <c r="D38" s="433"/>
      <c r="E38" s="433"/>
      <c r="F38" s="433"/>
      <c r="G38" s="433"/>
      <c r="H38" s="433"/>
      <c r="I38" s="433"/>
    </row>
    <row r="39" spans="1:12">
      <c r="A39" s="1019" t="s">
        <v>926</v>
      </c>
      <c r="B39" s="1019"/>
      <c r="C39" s="1019"/>
      <c r="D39" s="1019"/>
      <c r="E39" s="1019"/>
      <c r="F39" s="1019"/>
      <c r="G39" s="1019"/>
      <c r="H39" s="1019"/>
      <c r="I39" s="1019"/>
      <c r="J39" s="1019"/>
      <c r="K39" s="1019"/>
      <c r="L39" s="1019"/>
    </row>
    <row r="40" spans="1:12">
      <c r="A40" s="20" t="s">
        <v>113</v>
      </c>
    </row>
    <row r="41" spans="1:12" ht="31.5">
      <c r="A41" s="73" t="s">
        <v>100</v>
      </c>
    </row>
    <row r="42" spans="1:12">
      <c r="A42" s="594" t="s">
        <v>928</v>
      </c>
    </row>
    <row r="43" spans="1:12" ht="47.25">
      <c r="A43" s="73" t="s">
        <v>1073</v>
      </c>
      <c r="B43" s="73" t="s">
        <v>1425</v>
      </c>
      <c r="C43" s="73" t="s">
        <v>1426</v>
      </c>
      <c r="D43" s="73" t="s">
        <v>1427</v>
      </c>
      <c r="E43" s="73" t="s">
        <v>1428</v>
      </c>
      <c r="F43" s="73" t="s">
        <v>98</v>
      </c>
      <c r="G43" s="73" t="s">
        <v>99</v>
      </c>
      <c r="H43" s="73" t="s">
        <v>1239</v>
      </c>
      <c r="I43" s="73" t="s">
        <v>100</v>
      </c>
      <c r="J43" s="73" t="s">
        <v>1019</v>
      </c>
      <c r="K43" s="73" t="s">
        <v>968</v>
      </c>
      <c r="L43" s="73" t="s">
        <v>1429</v>
      </c>
    </row>
    <row r="44" spans="1:12">
      <c r="A44" s="75">
        <v>1</v>
      </c>
      <c r="B44" s="76" t="s">
        <v>1001</v>
      </c>
      <c r="C44" s="75" t="s">
        <v>1438</v>
      </c>
      <c r="D44" s="543" t="s">
        <v>1448</v>
      </c>
      <c r="E44" s="75">
        <v>300</v>
      </c>
      <c r="F44" s="544">
        <v>54000</v>
      </c>
      <c r="G44" s="545">
        <v>2700</v>
      </c>
      <c r="H44" s="546">
        <v>1.2</v>
      </c>
      <c r="I44" s="545">
        <v>54000</v>
      </c>
      <c r="J44" s="546">
        <v>10800</v>
      </c>
      <c r="K44" s="546">
        <v>12600</v>
      </c>
      <c r="L44" s="545">
        <v>40500</v>
      </c>
    </row>
    <row r="45" spans="1:12">
      <c r="A45" s="75">
        <v>6</v>
      </c>
      <c r="B45" s="76" t="s">
        <v>1434</v>
      </c>
      <c r="C45" s="75" t="s">
        <v>1443</v>
      </c>
      <c r="D45" s="543" t="s">
        <v>1452</v>
      </c>
      <c r="E45" s="75">
        <v>390</v>
      </c>
      <c r="F45" s="546">
        <v>58500</v>
      </c>
      <c r="G45" s="545">
        <v>2925</v>
      </c>
      <c r="H45" s="546">
        <v>1.06</v>
      </c>
      <c r="I45" s="545">
        <v>58500</v>
      </c>
      <c r="J45" s="546">
        <v>11700</v>
      </c>
      <c r="K45" s="546">
        <v>13950</v>
      </c>
      <c r="L45" s="545">
        <v>43875</v>
      </c>
    </row>
    <row r="46" spans="1:12">
      <c r="A46" s="75">
        <v>7</v>
      </c>
      <c r="B46" s="76" t="s">
        <v>1307</v>
      </c>
      <c r="C46" s="75" t="s">
        <v>1444</v>
      </c>
      <c r="D46" s="543" t="s">
        <v>1448</v>
      </c>
      <c r="E46" s="75">
        <v>300</v>
      </c>
      <c r="F46" s="546">
        <v>54000</v>
      </c>
      <c r="G46" s="545">
        <v>2700</v>
      </c>
      <c r="H46" s="546">
        <v>1.02</v>
      </c>
      <c r="I46" s="545">
        <v>54000</v>
      </c>
      <c r="J46" s="546">
        <v>10800</v>
      </c>
      <c r="K46" s="546">
        <v>12600</v>
      </c>
      <c r="L46" s="545">
        <v>40500</v>
      </c>
    </row>
    <row r="47" spans="1:12">
      <c r="A47" s="75">
        <v>10</v>
      </c>
      <c r="B47" s="76" t="s">
        <v>1437</v>
      </c>
      <c r="C47" s="75" t="s">
        <v>1447</v>
      </c>
      <c r="D47" s="543" t="s">
        <v>1453</v>
      </c>
      <c r="E47" s="75">
        <v>290</v>
      </c>
      <c r="F47" s="546">
        <v>58000</v>
      </c>
      <c r="G47" s="545">
        <v>0</v>
      </c>
      <c r="H47" s="546">
        <v>1.1299999999999999</v>
      </c>
      <c r="I47" s="545">
        <v>58000</v>
      </c>
      <c r="J47" s="546">
        <v>11600</v>
      </c>
      <c r="K47" s="546">
        <v>13800</v>
      </c>
      <c r="L47" s="545">
        <v>46400</v>
      </c>
    </row>
  </sheetData>
  <mergeCells count="3">
    <mergeCell ref="A14:C14"/>
    <mergeCell ref="E14:L14"/>
    <mergeCell ref="A39:L39"/>
  </mergeCells>
  <phoneticPr fontId="2" type="noConversion"/>
  <pageMargins left="0.5" right="0.5" top="0.5" bottom="0.5" header="0.5" footer="0.5"/>
  <pageSetup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89EC-228B-4416-910B-F6B445462CBA}">
  <dimension ref="A1:L44"/>
  <sheetViews>
    <sheetView workbookViewId="0">
      <selection activeCell="K1" sqref="K1"/>
    </sheetView>
  </sheetViews>
  <sheetFormatPr defaultRowHeight="15"/>
  <cols>
    <col min="1" max="1" width="10.140625" style="10" customWidth="1"/>
    <col min="2" max="2" width="16.7109375" style="10" customWidth="1"/>
    <col min="3" max="3" width="9.140625" style="10"/>
    <col min="4" max="4" width="9.7109375" style="10" customWidth="1"/>
    <col min="5" max="5" width="10.140625" style="10" customWidth="1"/>
    <col min="6" max="6" width="9.140625" style="10"/>
    <col min="7" max="7" width="12.7109375" style="10" customWidth="1"/>
    <col min="8" max="8" width="18.140625" style="10" customWidth="1"/>
    <col min="9" max="9" width="9.42578125" style="10" customWidth="1"/>
    <col min="10" max="10" width="10.140625" style="10" bestFit="1" customWidth="1"/>
    <col min="11" max="13" width="9.140625" style="10"/>
    <col min="14" max="14" width="12.28515625" style="10" customWidth="1"/>
    <col min="15" max="16384" width="9.140625" style="10"/>
  </cols>
  <sheetData>
    <row r="1" spans="1:12" ht="15.75">
      <c r="A1" s="9" t="s">
        <v>1482</v>
      </c>
      <c r="K1" s="886" t="s">
        <v>1991</v>
      </c>
      <c r="L1" s="145"/>
    </row>
    <row r="2" spans="1:12" ht="15.75">
      <c r="A2" s="9"/>
    </row>
    <row r="3" spans="1:12" ht="20.25">
      <c r="A3" s="1022" t="s">
        <v>1483</v>
      </c>
      <c r="B3" s="1022"/>
      <c r="C3" s="1022"/>
      <c r="D3" s="1022"/>
      <c r="E3" s="1022"/>
      <c r="F3" s="1022"/>
      <c r="G3" s="1022"/>
      <c r="H3" s="1022"/>
      <c r="I3" s="1022"/>
      <c r="J3" s="18"/>
    </row>
    <row r="4" spans="1:12" ht="19.5">
      <c r="A4" s="600" t="s">
        <v>929</v>
      </c>
      <c r="B4" s="4">
        <f ca="1">YEAR(TODAY())</f>
        <v>2026</v>
      </c>
      <c r="C4" s="599"/>
      <c r="D4" s="599"/>
      <c r="E4" s="599"/>
      <c r="F4" s="599"/>
      <c r="G4" s="599"/>
      <c r="H4" s="599"/>
      <c r="I4" s="599"/>
      <c r="J4" s="18"/>
    </row>
    <row r="5" spans="1:12" ht="15.75">
      <c r="G5" s="1031" t="s">
        <v>1487</v>
      </c>
      <c r="H5" s="1031"/>
    </row>
    <row r="6" spans="1:12" s="2" customFormat="1" ht="31.5">
      <c r="A6" s="69" t="s">
        <v>1367</v>
      </c>
      <c r="B6" s="69" t="s">
        <v>1030</v>
      </c>
      <c r="C6" s="69" t="s">
        <v>1484</v>
      </c>
      <c r="D6" s="69" t="s">
        <v>1368</v>
      </c>
      <c r="E6" s="69" t="s">
        <v>1485</v>
      </c>
      <c r="F6" s="69" t="s">
        <v>1486</v>
      </c>
      <c r="G6" s="70" t="s">
        <v>1214</v>
      </c>
      <c r="H6" s="69" t="s">
        <v>1369</v>
      </c>
      <c r="I6" s="13"/>
    </row>
    <row r="7" spans="1:12" s="2" customFormat="1" ht="15.75">
      <c r="A7" s="84" t="s">
        <v>1488</v>
      </c>
      <c r="B7" s="84" t="str">
        <f t="shared" ref="B7:B13" si="0">VLOOKUP(LEFT(A7,4),$A$15:$F$19,2,0)</f>
        <v>Thép tròn 20mm</v>
      </c>
      <c r="C7" s="56" t="str">
        <f t="shared" ref="C7:C13" si="1">VLOOKUP(LEFT(A7,4),$A$17:$F$19,4,0)</f>
        <v>AU</v>
      </c>
      <c r="D7" s="81">
        <v>50</v>
      </c>
      <c r="E7" s="82">
        <v>38811</v>
      </c>
      <c r="F7" s="81">
        <f t="shared" ref="F7:F13" si="2">D7*VLOOKUP(LEFT(A7,4),$A$15:$F$19, IF(RIGHT(A7,1)="C",5,6),0)</f>
        <v>22500</v>
      </c>
      <c r="G7" s="56">
        <f t="shared" ref="G7:G13" si="3">D7*VLOOKUP(C7,$H$16:$J$18,3,0)</f>
        <v>6000</v>
      </c>
      <c r="H7" s="644">
        <f t="shared" ref="H7:H13" si="4">IF(MONTH(E7)=5,(F7+G7)*5%,F7+G7)</f>
        <v>28500</v>
      </c>
      <c r="I7" s="14"/>
      <c r="J7" s="2" t="s">
        <v>112</v>
      </c>
    </row>
    <row r="8" spans="1:12" s="2" customFormat="1" ht="15.75">
      <c r="A8" s="84" t="s">
        <v>1490</v>
      </c>
      <c r="B8" s="84" t="str">
        <f t="shared" si="0"/>
        <v>Thép tròn 20mm</v>
      </c>
      <c r="C8" s="56" t="str">
        <f t="shared" si="1"/>
        <v>AU</v>
      </c>
      <c r="D8" s="81">
        <v>36</v>
      </c>
      <c r="E8" s="82">
        <v>38831</v>
      </c>
      <c r="F8" s="81">
        <f t="shared" si="2"/>
        <v>14400</v>
      </c>
      <c r="G8" s="56">
        <f t="shared" si="3"/>
        <v>4320</v>
      </c>
      <c r="H8" s="644">
        <f t="shared" si="4"/>
        <v>18720</v>
      </c>
      <c r="I8" s="14"/>
      <c r="J8" s="2" t="b">
        <f>AND(RIGHT(A7,1)="T",MONTH(E7)=5)</f>
        <v>0</v>
      </c>
    </row>
    <row r="9" spans="1:12" s="2" customFormat="1" ht="15.75">
      <c r="A9" s="84" t="s">
        <v>1776</v>
      </c>
      <c r="B9" s="84" t="str">
        <f t="shared" si="0"/>
        <v>Thép góc 5x5mm</v>
      </c>
      <c r="C9" s="56" t="str">
        <f t="shared" si="1"/>
        <v>GE</v>
      </c>
      <c r="D9" s="81">
        <v>70</v>
      </c>
      <c r="E9" s="82">
        <v>38839</v>
      </c>
      <c r="F9" s="81">
        <f t="shared" si="2"/>
        <v>36400</v>
      </c>
      <c r="G9" s="56">
        <f t="shared" si="3"/>
        <v>10500</v>
      </c>
      <c r="H9" s="644">
        <f t="shared" si="4"/>
        <v>2345</v>
      </c>
      <c r="I9" s="14"/>
    </row>
    <row r="10" spans="1:12" s="2" customFormat="1" ht="15.75">
      <c r="A10" s="84" t="s">
        <v>1491</v>
      </c>
      <c r="B10" s="84" t="str">
        <f t="shared" si="0"/>
        <v>Thép góc 5x5mm</v>
      </c>
      <c r="C10" s="56" t="str">
        <f t="shared" si="1"/>
        <v>GE</v>
      </c>
      <c r="D10" s="81">
        <v>12</v>
      </c>
      <c r="E10" s="82">
        <v>38861</v>
      </c>
      <c r="F10" s="81">
        <f t="shared" si="2"/>
        <v>5640</v>
      </c>
      <c r="G10" s="56">
        <f t="shared" si="3"/>
        <v>1800</v>
      </c>
      <c r="H10" s="644">
        <f t="shared" si="4"/>
        <v>372</v>
      </c>
      <c r="I10" s="14"/>
    </row>
    <row r="11" spans="1:12" s="2" customFormat="1" ht="15.75">
      <c r="A11" s="84" t="s">
        <v>1769</v>
      </c>
      <c r="B11" s="84" t="str">
        <f t="shared" si="0"/>
        <v>Thép tấm 10mm</v>
      </c>
      <c r="C11" s="56" t="str">
        <f t="shared" si="1"/>
        <v>KO</v>
      </c>
      <c r="D11" s="81">
        <v>60</v>
      </c>
      <c r="E11" s="82">
        <v>38863</v>
      </c>
      <c r="F11" s="81">
        <f t="shared" si="2"/>
        <v>38400</v>
      </c>
      <c r="G11" s="56">
        <f t="shared" si="3"/>
        <v>6000</v>
      </c>
      <c r="H11" s="644">
        <f t="shared" si="4"/>
        <v>2220</v>
      </c>
      <c r="I11" s="14"/>
    </row>
    <row r="12" spans="1:12" s="2" customFormat="1" ht="15.75">
      <c r="A12" s="84" t="s">
        <v>1489</v>
      </c>
      <c r="B12" s="84" t="str">
        <f t="shared" si="0"/>
        <v>Thép tấm 10mm</v>
      </c>
      <c r="C12" s="56" t="str">
        <f t="shared" si="1"/>
        <v>KO</v>
      </c>
      <c r="D12" s="81">
        <v>45</v>
      </c>
      <c r="E12" s="82">
        <v>38849</v>
      </c>
      <c r="F12" s="81">
        <f t="shared" si="2"/>
        <v>31500</v>
      </c>
      <c r="G12" s="56">
        <f t="shared" si="3"/>
        <v>4500</v>
      </c>
      <c r="H12" s="644">
        <f t="shared" si="4"/>
        <v>1800</v>
      </c>
      <c r="I12" s="14"/>
    </row>
    <row r="13" spans="1:12" s="2" customFormat="1" ht="15.75">
      <c r="A13" s="84" t="s">
        <v>1489</v>
      </c>
      <c r="B13" s="84" t="str">
        <f t="shared" si="0"/>
        <v>Thép tấm 10mm</v>
      </c>
      <c r="C13" s="56" t="str">
        <f t="shared" si="1"/>
        <v>KO</v>
      </c>
      <c r="D13" s="81">
        <v>35</v>
      </c>
      <c r="E13" s="82">
        <v>38822</v>
      </c>
      <c r="F13" s="81">
        <f t="shared" si="2"/>
        <v>24500</v>
      </c>
      <c r="G13" s="56">
        <f t="shared" si="3"/>
        <v>3500</v>
      </c>
      <c r="H13" s="644">
        <f t="shared" si="4"/>
        <v>28000</v>
      </c>
      <c r="I13" s="14"/>
    </row>
    <row r="14" spans="1:12" s="2" customFormat="1" ht="15.75">
      <c r="A14" s="15" t="s">
        <v>1379</v>
      </c>
      <c r="H14" s="15" t="s">
        <v>1394</v>
      </c>
    </row>
    <row r="15" spans="1:12" s="2" customFormat="1" ht="15.75" customHeight="1">
      <c r="A15" s="1027" t="s">
        <v>1770</v>
      </c>
      <c r="B15" s="1023" t="s">
        <v>1030</v>
      </c>
      <c r="C15" s="1024"/>
      <c r="D15" s="1029" t="s">
        <v>1484</v>
      </c>
      <c r="E15" s="918" t="s">
        <v>1032</v>
      </c>
      <c r="F15" s="920"/>
      <c r="H15" s="69" t="s">
        <v>1484</v>
      </c>
      <c r="I15" s="69" t="s">
        <v>1783</v>
      </c>
      <c r="J15" s="69" t="s">
        <v>1784</v>
      </c>
    </row>
    <row r="16" spans="1:12" s="2" customFormat="1" ht="16.5" customHeight="1">
      <c r="A16" s="1028"/>
      <c r="B16" s="1025"/>
      <c r="C16" s="1026"/>
      <c r="D16" s="1030"/>
      <c r="E16" s="69" t="s">
        <v>1771</v>
      </c>
      <c r="F16" s="69" t="s">
        <v>1772</v>
      </c>
      <c r="H16" s="81" t="s">
        <v>1780</v>
      </c>
      <c r="I16" s="83" t="s">
        <v>1785</v>
      </c>
      <c r="J16" s="81">
        <v>120</v>
      </c>
    </row>
    <row r="17" spans="1:10" s="2" customFormat="1" ht="15.75">
      <c r="A17" s="81" t="s">
        <v>1773</v>
      </c>
      <c r="B17" s="83" t="s">
        <v>1777</v>
      </c>
      <c r="C17" s="83"/>
      <c r="D17" s="81" t="s">
        <v>1780</v>
      </c>
      <c r="E17" s="81">
        <v>450</v>
      </c>
      <c r="F17" s="81">
        <v>400</v>
      </c>
      <c r="H17" s="81" t="s">
        <v>1781</v>
      </c>
      <c r="I17" s="83" t="s">
        <v>1786</v>
      </c>
      <c r="J17" s="81">
        <v>100</v>
      </c>
    </row>
    <row r="18" spans="1:10" s="2" customFormat="1" ht="15.75">
      <c r="A18" s="81" t="s">
        <v>1774</v>
      </c>
      <c r="B18" s="83" t="s">
        <v>1778</v>
      </c>
      <c r="C18" s="83"/>
      <c r="D18" s="81" t="s">
        <v>1781</v>
      </c>
      <c r="E18" s="81">
        <v>700</v>
      </c>
      <c r="F18" s="81">
        <v>640</v>
      </c>
      <c r="H18" s="81" t="s">
        <v>1782</v>
      </c>
      <c r="I18" s="83" t="s">
        <v>1787</v>
      </c>
      <c r="J18" s="81">
        <v>150</v>
      </c>
    </row>
    <row r="19" spans="1:10" s="2" customFormat="1" ht="15.75">
      <c r="A19" s="81" t="s">
        <v>1775</v>
      </c>
      <c r="B19" s="83" t="s">
        <v>1779</v>
      </c>
      <c r="C19" s="83"/>
      <c r="D19" s="81" t="s">
        <v>1782</v>
      </c>
      <c r="E19" s="81">
        <v>520</v>
      </c>
      <c r="F19" s="81">
        <v>470</v>
      </c>
    </row>
    <row r="20" spans="1:10" ht="15.75">
      <c r="H20" s="658" t="s">
        <v>418</v>
      </c>
    </row>
    <row r="21" spans="1:10" s="2" customFormat="1" ht="15.75">
      <c r="A21" s="11" t="s">
        <v>1354</v>
      </c>
      <c r="H21" s="658" t="b">
        <f>AND(RIGHT(A7,1)="C",C7="KO")</f>
        <v>0</v>
      </c>
    </row>
    <row r="22" spans="1:10" s="2" customFormat="1" ht="15.75">
      <c r="A22" s="12" t="s">
        <v>1788</v>
      </c>
      <c r="H22" s="66" t="s">
        <v>419</v>
      </c>
    </row>
    <row r="23" spans="1:10" s="2" customFormat="1" ht="15.75">
      <c r="A23" s="12"/>
      <c r="H23" s="66" t="b">
        <f>AND(RIGHT(A7,1)="T",C7="KO")</f>
        <v>0</v>
      </c>
    </row>
    <row r="24" spans="1:10" s="2" customFormat="1" ht="15.75">
      <c r="A24" s="11" t="s">
        <v>1221</v>
      </c>
      <c r="H24" s="658" t="s">
        <v>421</v>
      </c>
    </row>
    <row r="25" spans="1:10" s="2" customFormat="1" ht="15.75">
      <c r="A25" s="2" t="s">
        <v>1795</v>
      </c>
      <c r="H25" s="658" t="b">
        <f>AND(RIGHT(A7,1)="C",C7="GE")</f>
        <v>0</v>
      </c>
    </row>
    <row r="26" spans="1:10" s="2" customFormat="1" ht="15.75">
      <c r="A26" s="2" t="s">
        <v>1796</v>
      </c>
      <c r="H26" s="66" t="s">
        <v>420</v>
      </c>
    </row>
    <row r="27" spans="1:10" s="2" customFormat="1" ht="15.75">
      <c r="A27" s="2" t="s">
        <v>1797</v>
      </c>
      <c r="H27" s="61" t="b">
        <f>AND(RIGHT(A7,1)="T",C7="GE")</f>
        <v>0</v>
      </c>
    </row>
    <row r="28" spans="1:10" s="2" customFormat="1" ht="15.75">
      <c r="A28" s="2" t="s">
        <v>1798</v>
      </c>
    </row>
    <row r="29" spans="1:10" s="2" customFormat="1" ht="15.75">
      <c r="B29" s="5" t="s">
        <v>1790</v>
      </c>
    </row>
    <row r="30" spans="1:10" s="2" customFormat="1" ht="15.75">
      <c r="B30" s="2" t="s">
        <v>1789</v>
      </c>
    </row>
    <row r="31" spans="1:10" s="2" customFormat="1" ht="15.75">
      <c r="A31" s="2" t="s">
        <v>1799</v>
      </c>
    </row>
    <row r="32" spans="1:10" s="2" customFormat="1" ht="15.75">
      <c r="B32" s="5" t="s">
        <v>1791</v>
      </c>
    </row>
    <row r="33" spans="1:11" s="2" customFormat="1" ht="15.75">
      <c r="A33" s="2" t="s">
        <v>1800</v>
      </c>
    </row>
    <row r="34" spans="1:11" s="2" customFormat="1" ht="15.75">
      <c r="A34" s="2" t="s">
        <v>1792</v>
      </c>
    </row>
    <row r="35" spans="1:11" s="2" customFormat="1" ht="15.75">
      <c r="A35" s="2" t="s">
        <v>1801</v>
      </c>
    </row>
    <row r="36" spans="1:11" s="2" customFormat="1" ht="15.75">
      <c r="A36" s="2" t="s">
        <v>1802</v>
      </c>
    </row>
    <row r="37" spans="1:11" s="2" customFormat="1" ht="15.75">
      <c r="A37" s="2" t="s">
        <v>42</v>
      </c>
    </row>
    <row r="38" spans="1:11" s="2" customFormat="1" ht="15.75">
      <c r="B38" s="71" t="s">
        <v>1484</v>
      </c>
      <c r="C38" s="1020" t="s">
        <v>1793</v>
      </c>
      <c r="D38" s="1020"/>
      <c r="E38" s="1020" t="s">
        <v>1794</v>
      </c>
      <c r="F38" s="1020"/>
      <c r="H38" s="2" t="s">
        <v>93</v>
      </c>
      <c r="I38" s="2" t="s">
        <v>94</v>
      </c>
      <c r="K38" s="2" t="s">
        <v>113</v>
      </c>
    </row>
    <row r="39" spans="1:11" s="2" customFormat="1" ht="15.75">
      <c r="B39" s="81" t="s">
        <v>1781</v>
      </c>
      <c r="C39" s="1021">
        <f>DSUM($A$6:$H$13,H6,$H$20:$H$21)</f>
        <v>29800</v>
      </c>
      <c r="D39" s="1021"/>
      <c r="E39" s="1021">
        <f>DSUM($A$6:$H$13,H6,$H$22:$H$23)</f>
        <v>2220</v>
      </c>
      <c r="F39" s="1021"/>
      <c r="H39" s="2" t="b">
        <f>LEFT(A7,2)="KO"</f>
        <v>0</v>
      </c>
      <c r="I39" s="2" t="b">
        <f>RIGHT(A7,1)="C"</f>
        <v>1</v>
      </c>
      <c r="K39" s="2" t="b">
        <f>AND(RIGHT(A7,1)="C",C7="GE")</f>
        <v>0</v>
      </c>
    </row>
    <row r="40" spans="1:11" s="2" customFormat="1" ht="15.75">
      <c r="B40" s="81" t="s">
        <v>1782</v>
      </c>
      <c r="C40" s="1021">
        <f>DSUM($A$6:$H$13,H6,$H$24:$H$25)</f>
        <v>2345</v>
      </c>
      <c r="D40" s="1021"/>
      <c r="E40" s="1021">
        <f>DSUM($A$6:$H$13,H6,$H$26:$H$27)</f>
        <v>372</v>
      </c>
      <c r="F40" s="1021"/>
    </row>
    <row r="41" spans="1:11" s="2" customFormat="1" ht="15.75">
      <c r="A41" s="2" t="s">
        <v>1803</v>
      </c>
    </row>
    <row r="42" spans="1:11" ht="31.5">
      <c r="A42" s="69" t="s">
        <v>1367</v>
      </c>
      <c r="B42" s="69" t="s">
        <v>1030</v>
      </c>
      <c r="C42" s="69" t="s">
        <v>1484</v>
      </c>
      <c r="D42" s="69" t="s">
        <v>1368</v>
      </c>
      <c r="E42" s="69" t="s">
        <v>1485</v>
      </c>
      <c r="F42" s="69" t="s">
        <v>1486</v>
      </c>
      <c r="G42" s="70" t="s">
        <v>1214</v>
      </c>
      <c r="H42" s="69" t="s">
        <v>1369</v>
      </c>
    </row>
    <row r="43" spans="1:11" ht="15.75">
      <c r="A43" s="84" t="s">
        <v>1491</v>
      </c>
      <c r="B43" s="84" t="s">
        <v>1779</v>
      </c>
      <c r="C43" s="56" t="s">
        <v>1782</v>
      </c>
      <c r="D43" s="81">
        <v>12</v>
      </c>
      <c r="E43" s="82">
        <v>38861</v>
      </c>
      <c r="F43" s="81">
        <v>5640</v>
      </c>
      <c r="G43" s="56">
        <v>1800</v>
      </c>
      <c r="H43" s="56">
        <v>372</v>
      </c>
    </row>
    <row r="44" spans="1:11" ht="15.75">
      <c r="A44" s="84" t="s">
        <v>1769</v>
      </c>
      <c r="B44" s="84" t="s">
        <v>1778</v>
      </c>
      <c r="C44" s="56" t="s">
        <v>1781</v>
      </c>
      <c r="D44" s="81">
        <v>60</v>
      </c>
      <c r="E44" s="82">
        <v>38863</v>
      </c>
      <c r="F44" s="81">
        <v>38400</v>
      </c>
      <c r="G44" s="56">
        <v>6000</v>
      </c>
      <c r="H44" s="56">
        <v>2220</v>
      </c>
    </row>
  </sheetData>
  <mergeCells count="12">
    <mergeCell ref="A3:I3"/>
    <mergeCell ref="B15:C16"/>
    <mergeCell ref="A15:A16"/>
    <mergeCell ref="E15:F15"/>
    <mergeCell ref="D15:D16"/>
    <mergeCell ref="G5:H5"/>
    <mergeCell ref="C38:D38"/>
    <mergeCell ref="E38:F38"/>
    <mergeCell ref="C39:D39"/>
    <mergeCell ref="C40:D40"/>
    <mergeCell ref="E39:F39"/>
    <mergeCell ref="E40:F40"/>
  </mergeCells>
  <phoneticPr fontId="2" type="noConversion"/>
  <pageMargins left="0.5" right="0.25" top="0.75" bottom="0.75" header="0.5" footer="0.5"/>
  <pageSetup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992A2-0B03-41A3-B415-AD119832B778}">
  <dimension ref="A1:J50"/>
  <sheetViews>
    <sheetView workbookViewId="0">
      <selection activeCell="J1" sqref="J1"/>
    </sheetView>
  </sheetViews>
  <sheetFormatPr defaultRowHeight="15.75"/>
  <cols>
    <col min="1" max="1" width="6.85546875" style="145" customWidth="1"/>
    <col min="2" max="2" width="10.140625" style="145" customWidth="1"/>
    <col min="3" max="3" width="17.7109375" style="145" customWidth="1"/>
    <col min="4" max="4" width="20.85546875" style="145" customWidth="1"/>
    <col min="5" max="5" width="9.140625" style="145"/>
    <col min="6" max="6" width="10.85546875" style="145" customWidth="1"/>
    <col min="7" max="7" width="10.5703125" style="145" customWidth="1"/>
    <col min="8" max="8" width="10.42578125" style="145" customWidth="1"/>
    <col min="9" max="9" width="8.42578125" style="145" customWidth="1"/>
    <col min="10" max="10" width="13.42578125" style="145" customWidth="1"/>
    <col min="11" max="11" width="12" style="145" customWidth="1"/>
    <col min="12" max="12" width="16" style="145" customWidth="1"/>
    <col min="13" max="13" width="20" style="145" customWidth="1"/>
    <col min="14" max="16384" width="9.140625" style="145"/>
  </cols>
  <sheetData>
    <row r="1" spans="1:10">
      <c r="A1" s="717" t="s">
        <v>1804</v>
      </c>
      <c r="J1" s="886" t="s">
        <v>1991</v>
      </c>
    </row>
    <row r="3" spans="1:10" ht="22.5">
      <c r="A3" s="1037" t="s">
        <v>1805</v>
      </c>
      <c r="B3" s="1038"/>
      <c r="C3" s="1038"/>
      <c r="D3" s="1038"/>
      <c r="E3" s="1038"/>
      <c r="F3" s="1038"/>
      <c r="G3" s="1038"/>
      <c r="H3" s="1039"/>
    </row>
    <row r="4" spans="1:10">
      <c r="A4" s="1040" t="s">
        <v>1806</v>
      </c>
      <c r="B4" s="1041"/>
      <c r="C4" s="1041"/>
      <c r="D4" s="1041" t="s">
        <v>1807</v>
      </c>
      <c r="E4" s="1041"/>
      <c r="F4" s="1041"/>
      <c r="G4" s="1041"/>
      <c r="H4" s="1042"/>
    </row>
    <row r="5" spans="1:10" ht="47.25">
      <c r="A5" s="69" t="s">
        <v>1073</v>
      </c>
      <c r="B5" s="70" t="s">
        <v>1808</v>
      </c>
      <c r="C5" s="70" t="s">
        <v>1809</v>
      </c>
      <c r="D5" s="69" t="s">
        <v>1810</v>
      </c>
      <c r="E5" s="70" t="s">
        <v>1811</v>
      </c>
      <c r="F5" s="69" t="s">
        <v>1812</v>
      </c>
      <c r="G5" s="70" t="s">
        <v>1813</v>
      </c>
      <c r="H5" s="69" t="s">
        <v>1814</v>
      </c>
    </row>
    <row r="6" spans="1:10">
      <c r="A6" s="383">
        <v>2</v>
      </c>
      <c r="B6" s="383" t="s">
        <v>1816</v>
      </c>
      <c r="C6" s="718" t="str">
        <f t="shared" ref="C6:C15" si="0">VLOOKUP(RIGHT(B6,3),$G$19:$I$28,2,0)</f>
        <v>Vũ Ngọc Hoàng</v>
      </c>
      <c r="D6" s="718" t="str">
        <f t="shared" ref="D6:D15" si="1">VLOOKUP(LEFT(B6,2),$A$19:$D$22,2,0)</f>
        <v>Khách sạn Thanh Bình</v>
      </c>
      <c r="E6" s="719">
        <v>0.34722222222222227</v>
      </c>
      <c r="F6" s="720">
        <f>E6-TIME(6,0,0)</f>
        <v>9.7222222222222265E-2</v>
      </c>
      <c r="G6" s="721">
        <f>120/(HOUR(F6)+MINUTE(F6)/60)</f>
        <v>51.428571428571423</v>
      </c>
      <c r="H6" s="391">
        <f>RANK(F6,$F$6:$F$15,1)</f>
        <v>1</v>
      </c>
    </row>
    <row r="7" spans="1:10">
      <c r="A7" s="383">
        <v>10</v>
      </c>
      <c r="B7" s="383" t="s">
        <v>1824</v>
      </c>
      <c r="C7" s="718" t="str">
        <f t="shared" si="0"/>
        <v>Vũ Giáo Sửu</v>
      </c>
      <c r="D7" s="718" t="str">
        <f t="shared" si="1"/>
        <v>Bảo vệ TV An Giang</v>
      </c>
      <c r="E7" s="719">
        <v>0.34791666666666665</v>
      </c>
      <c r="F7" s="720">
        <f t="shared" ref="F7:F15" si="2">E7-TIME(6,0,0)</f>
        <v>9.7916666666666652E-2</v>
      </c>
      <c r="G7" s="721">
        <f t="shared" ref="G7:G15" si="3">120/(HOUR(F7)+MINUTE(F7)/60)</f>
        <v>51.063829787234042</v>
      </c>
      <c r="H7" s="391">
        <f t="shared" ref="H7:H15" si="4">RANK(F7,$F$6:$F$15,1)</f>
        <v>2</v>
      </c>
    </row>
    <row r="8" spans="1:10">
      <c r="A8" s="383">
        <v>6</v>
      </c>
      <c r="B8" s="383" t="s">
        <v>1820</v>
      </c>
      <c r="C8" s="718" t="str">
        <f t="shared" si="0"/>
        <v>Nguyễn Trần Khải</v>
      </c>
      <c r="D8" s="718" t="str">
        <f t="shared" si="1"/>
        <v>Công an Thành phố</v>
      </c>
      <c r="E8" s="719">
        <v>0.34861111111111115</v>
      </c>
      <c r="F8" s="720">
        <f t="shared" si="2"/>
        <v>9.8611111111111149E-2</v>
      </c>
      <c r="G8" s="721">
        <f t="shared" si="3"/>
        <v>50.704225352112672</v>
      </c>
      <c r="H8" s="391">
        <f t="shared" si="4"/>
        <v>3</v>
      </c>
    </row>
    <row r="9" spans="1:10">
      <c r="A9" s="383">
        <v>8</v>
      </c>
      <c r="B9" s="383" t="s">
        <v>1822</v>
      </c>
      <c r="C9" s="718" t="str">
        <f t="shared" si="0"/>
        <v>Lê Đức Công</v>
      </c>
      <c r="D9" s="718" t="str">
        <f t="shared" si="1"/>
        <v>Tiền Giang</v>
      </c>
      <c r="E9" s="719">
        <v>0.35138888888888892</v>
      </c>
      <c r="F9" s="720">
        <f t="shared" si="2"/>
        <v>0.10138888888888892</v>
      </c>
      <c r="G9" s="721">
        <f t="shared" si="3"/>
        <v>49.315068493150683</v>
      </c>
      <c r="H9" s="391">
        <f t="shared" si="4"/>
        <v>4</v>
      </c>
    </row>
    <row r="10" spans="1:10">
      <c r="A10" s="383">
        <v>7</v>
      </c>
      <c r="B10" s="383" t="s">
        <v>1821</v>
      </c>
      <c r="C10" s="718" t="str">
        <f t="shared" si="0"/>
        <v>Huỳnh Đại Đồng</v>
      </c>
      <c r="D10" s="718" t="str">
        <f t="shared" si="1"/>
        <v>Tiền Giang</v>
      </c>
      <c r="E10" s="719">
        <v>0.3520833333333333</v>
      </c>
      <c r="F10" s="720">
        <f t="shared" si="2"/>
        <v>0.1020833333333333</v>
      </c>
      <c r="G10" s="721">
        <f t="shared" si="3"/>
        <v>48.979591836734691</v>
      </c>
      <c r="H10" s="391">
        <f t="shared" si="4"/>
        <v>5</v>
      </c>
    </row>
    <row r="11" spans="1:10">
      <c r="A11" s="383">
        <v>1</v>
      </c>
      <c r="B11" s="383" t="s">
        <v>1815</v>
      </c>
      <c r="C11" s="718" t="str">
        <f t="shared" si="0"/>
        <v>Trần Vũ Minh</v>
      </c>
      <c r="D11" s="718" t="str">
        <f t="shared" si="1"/>
        <v>Khách sạn Thanh Bình</v>
      </c>
      <c r="E11" s="719">
        <v>0.35416666666666669</v>
      </c>
      <c r="F11" s="720">
        <f t="shared" si="2"/>
        <v>0.10416666666666669</v>
      </c>
      <c r="G11" s="721">
        <f t="shared" si="3"/>
        <v>48</v>
      </c>
      <c r="H11" s="391">
        <f t="shared" si="4"/>
        <v>6</v>
      </c>
    </row>
    <row r="12" spans="1:10">
      <c r="A12" s="383">
        <v>4</v>
      </c>
      <c r="B12" s="383" t="s">
        <v>1818</v>
      </c>
      <c r="C12" s="718" t="str">
        <f t="shared" si="0"/>
        <v>Hồ Văn Hùng</v>
      </c>
      <c r="D12" s="718" t="str">
        <f t="shared" si="1"/>
        <v>Công an Thành phố</v>
      </c>
      <c r="E12" s="719">
        <v>0.35555555555555557</v>
      </c>
      <c r="F12" s="720">
        <f t="shared" si="2"/>
        <v>0.10555555555555557</v>
      </c>
      <c r="G12" s="721">
        <f t="shared" si="3"/>
        <v>47.368421052631582</v>
      </c>
      <c r="H12" s="391">
        <f t="shared" si="4"/>
        <v>7</v>
      </c>
    </row>
    <row r="13" spans="1:10">
      <c r="A13" s="383">
        <v>5</v>
      </c>
      <c r="B13" s="383" t="s">
        <v>1819</v>
      </c>
      <c r="C13" s="718" t="str">
        <f t="shared" si="0"/>
        <v>Hoàng Mạnh Quân</v>
      </c>
      <c r="D13" s="718" t="str">
        <f t="shared" si="1"/>
        <v>Công an Thành phố</v>
      </c>
      <c r="E13" s="719">
        <v>0.3576388888888889</v>
      </c>
      <c r="F13" s="720">
        <f t="shared" si="2"/>
        <v>0.1076388888888889</v>
      </c>
      <c r="G13" s="721">
        <f t="shared" si="3"/>
        <v>46.451612903225801</v>
      </c>
      <c r="H13" s="391">
        <f t="shared" si="4"/>
        <v>8</v>
      </c>
    </row>
    <row r="14" spans="1:10">
      <c r="A14" s="383">
        <v>3</v>
      </c>
      <c r="B14" s="383" t="s">
        <v>1817</v>
      </c>
      <c r="C14" s="718" t="str">
        <f t="shared" si="0"/>
        <v>Phạm Đình Tấn</v>
      </c>
      <c r="D14" s="718" t="str">
        <f t="shared" si="1"/>
        <v>Khách sạn Thanh Bình</v>
      </c>
      <c r="E14" s="719">
        <v>0.36458333333333331</v>
      </c>
      <c r="F14" s="720">
        <f t="shared" si="2"/>
        <v>0.11458333333333331</v>
      </c>
      <c r="G14" s="721">
        <f t="shared" si="3"/>
        <v>43.636363636363633</v>
      </c>
      <c r="H14" s="391">
        <f t="shared" si="4"/>
        <v>9</v>
      </c>
    </row>
    <row r="15" spans="1:10">
      <c r="A15" s="383">
        <v>9</v>
      </c>
      <c r="B15" s="383" t="s">
        <v>1823</v>
      </c>
      <c r="C15" s="718" t="str">
        <f t="shared" si="0"/>
        <v>Trần Anh Thư</v>
      </c>
      <c r="D15" s="718" t="str">
        <f t="shared" si="1"/>
        <v>Tiền Giang</v>
      </c>
      <c r="E15" s="719">
        <v>0.375</v>
      </c>
      <c r="F15" s="720">
        <f t="shared" si="2"/>
        <v>0.125</v>
      </c>
      <c r="G15" s="721">
        <f t="shared" si="3"/>
        <v>40</v>
      </c>
      <c r="H15" s="391">
        <f t="shared" si="4"/>
        <v>10</v>
      </c>
    </row>
    <row r="16" spans="1:10" s="696" customFormat="1" ht="12.75"/>
    <row r="17" spans="1:9">
      <c r="A17" s="1046" t="s">
        <v>1825</v>
      </c>
      <c r="B17" s="1047"/>
      <c r="C17" s="1047"/>
      <c r="D17" s="1048"/>
      <c r="F17" s="605"/>
    </row>
    <row r="18" spans="1:9">
      <c r="A18" s="69" t="s">
        <v>1826</v>
      </c>
      <c r="B18" s="918" t="s">
        <v>1827</v>
      </c>
      <c r="C18" s="919"/>
      <c r="D18" s="920"/>
      <c r="F18" s="1043" t="s">
        <v>1873</v>
      </c>
      <c r="G18" s="69" t="s">
        <v>1835</v>
      </c>
      <c r="H18" s="918" t="s">
        <v>1836</v>
      </c>
      <c r="I18" s="920"/>
    </row>
    <row r="19" spans="1:9">
      <c r="A19" s="101" t="s">
        <v>1828</v>
      </c>
      <c r="B19" s="1034" t="s">
        <v>1831</v>
      </c>
      <c r="C19" s="1035"/>
      <c r="D19" s="1036"/>
      <c r="F19" s="1044"/>
      <c r="G19" s="383" t="s">
        <v>1837</v>
      </c>
      <c r="H19" s="1034" t="s">
        <v>1847</v>
      </c>
      <c r="I19" s="1036"/>
    </row>
    <row r="20" spans="1:9">
      <c r="A20" s="101" t="s">
        <v>1829</v>
      </c>
      <c r="B20" s="1034" t="s">
        <v>1832</v>
      </c>
      <c r="C20" s="1035"/>
      <c r="D20" s="1036"/>
      <c r="F20" s="1044"/>
      <c r="G20" s="383" t="s">
        <v>1838</v>
      </c>
      <c r="H20" s="1034" t="s">
        <v>1848</v>
      </c>
      <c r="I20" s="1036"/>
    </row>
    <row r="21" spans="1:9">
      <c r="A21" s="101" t="s">
        <v>1830</v>
      </c>
      <c r="B21" s="1034" t="s">
        <v>1833</v>
      </c>
      <c r="C21" s="1035"/>
      <c r="D21" s="1036"/>
      <c r="F21" s="1044"/>
      <c r="G21" s="383" t="s">
        <v>1839</v>
      </c>
      <c r="H21" s="1034" t="s">
        <v>1849</v>
      </c>
      <c r="I21" s="1036"/>
    </row>
    <row r="22" spans="1:9">
      <c r="A22" s="101" t="s">
        <v>1206</v>
      </c>
      <c r="B22" s="1034" t="s">
        <v>1834</v>
      </c>
      <c r="C22" s="1035"/>
      <c r="D22" s="1036"/>
      <c r="F22" s="1044"/>
      <c r="G22" s="383" t="s">
        <v>1840</v>
      </c>
      <c r="H22" s="1034" t="s">
        <v>1850</v>
      </c>
      <c r="I22" s="1036"/>
    </row>
    <row r="23" spans="1:9">
      <c r="F23" s="1044"/>
      <c r="G23" s="383" t="s">
        <v>1841</v>
      </c>
      <c r="H23" s="1034" t="s">
        <v>1851</v>
      </c>
      <c r="I23" s="1036"/>
    </row>
    <row r="24" spans="1:9">
      <c r="A24" s="722" t="s">
        <v>1354</v>
      </c>
      <c r="F24" s="1044"/>
      <c r="G24" s="383" t="s">
        <v>1842</v>
      </c>
      <c r="H24" s="1034" t="s">
        <v>1852</v>
      </c>
      <c r="I24" s="1036"/>
    </row>
    <row r="25" spans="1:9">
      <c r="A25" s="723" t="s">
        <v>1857</v>
      </c>
      <c r="F25" s="1044"/>
      <c r="G25" s="383" t="s">
        <v>1843</v>
      </c>
      <c r="H25" s="1034" t="s">
        <v>1853</v>
      </c>
      <c r="I25" s="1036"/>
    </row>
    <row r="26" spans="1:9">
      <c r="A26" s="724" t="s">
        <v>1858</v>
      </c>
      <c r="F26" s="1044"/>
      <c r="G26" s="383" t="s">
        <v>1844</v>
      </c>
      <c r="H26" s="1034" t="s">
        <v>1854</v>
      </c>
      <c r="I26" s="1036"/>
    </row>
    <row r="27" spans="1:9">
      <c r="F27" s="1044"/>
      <c r="G27" s="383" t="s">
        <v>1845</v>
      </c>
      <c r="H27" s="1034" t="s">
        <v>1855</v>
      </c>
      <c r="I27" s="1036"/>
    </row>
    <row r="28" spans="1:9">
      <c r="A28" s="722" t="s">
        <v>1221</v>
      </c>
      <c r="F28" s="1045"/>
      <c r="G28" s="383" t="s">
        <v>1846</v>
      </c>
      <c r="H28" s="1034" t="s">
        <v>1856</v>
      </c>
      <c r="I28" s="1036"/>
    </row>
    <row r="29" spans="1:9">
      <c r="A29" s="145" t="s">
        <v>1859</v>
      </c>
    </row>
    <row r="30" spans="1:9">
      <c r="A30" s="145" t="s">
        <v>1860</v>
      </c>
    </row>
    <row r="31" spans="1:9">
      <c r="A31" s="145" t="s">
        <v>1861</v>
      </c>
    </row>
    <row r="32" spans="1:9">
      <c r="A32" s="145" t="s">
        <v>1862</v>
      </c>
    </row>
    <row r="33" spans="1:8">
      <c r="A33" s="145" t="s">
        <v>1863</v>
      </c>
    </row>
    <row r="34" spans="1:8">
      <c r="A34" s="145" t="s">
        <v>1864</v>
      </c>
    </row>
    <row r="35" spans="1:8">
      <c r="A35" s="145" t="s">
        <v>1865</v>
      </c>
    </row>
    <row r="36" spans="1:8">
      <c r="A36" s="69" t="s">
        <v>1826</v>
      </c>
      <c r="B36" s="918" t="s">
        <v>1866</v>
      </c>
      <c r="C36" s="920"/>
      <c r="D36" s="69" t="s">
        <v>1867</v>
      </c>
      <c r="E36" s="145" t="s">
        <v>1871</v>
      </c>
    </row>
    <row r="37" spans="1:8">
      <c r="A37" s="101" t="s">
        <v>1206</v>
      </c>
      <c r="B37" s="1032">
        <f>SUMIF($B$6:$B$15,A37&amp;"*",$G$6:$G$15)/COUNTIF($B$6:$B$15,A37&amp;"*")</f>
        <v>51.063829787234042</v>
      </c>
      <c r="C37" s="1033"/>
      <c r="D37" s="675">
        <f>RANK(B37,$B$37:$C$40,0)</f>
        <v>1</v>
      </c>
      <c r="E37" s="145" t="s">
        <v>1872</v>
      </c>
    </row>
    <row r="38" spans="1:8">
      <c r="A38" s="101" t="s">
        <v>1829</v>
      </c>
      <c r="B38" s="1032">
        <f>SUMIF($B$6:$B$15,A38&amp;"*",$G$6:$G$15)/COUNTIF($B$6:$B$15,A38&amp;"*")</f>
        <v>48.174753102656688</v>
      </c>
      <c r="C38" s="1033"/>
      <c r="D38" s="675">
        <f>RANK(B38,$B$37:$C$40,0)</f>
        <v>2</v>
      </c>
      <c r="E38" s="145" t="s">
        <v>1868</v>
      </c>
    </row>
    <row r="39" spans="1:8">
      <c r="A39" s="101" t="s">
        <v>1828</v>
      </c>
      <c r="B39" s="1032">
        <f>SUMIF($B$6:$B$15,A39&amp;"*",$G$6:$G$15)/COUNTIF($B$6:$B$15,A39&amp;"*")</f>
        <v>47.688311688311678</v>
      </c>
      <c r="C39" s="1033"/>
      <c r="D39" s="675">
        <f>RANK(B39,$B$37:$C$40,0)</f>
        <v>3</v>
      </c>
      <c r="E39" s="145" t="s">
        <v>1869</v>
      </c>
    </row>
    <row r="40" spans="1:8">
      <c r="A40" s="101" t="s">
        <v>1830</v>
      </c>
      <c r="B40" s="1032">
        <f>SUMIF($B$6:$B$15,A40&amp;"*",$G$6:$G$15)/COUNTIF($B$6:$B$15,A40&amp;"*")</f>
        <v>46.098220109961794</v>
      </c>
      <c r="C40" s="1033"/>
      <c r="D40" s="675">
        <f>RANK(B40,$B$37:$C$40,0)</f>
        <v>4</v>
      </c>
    </row>
    <row r="42" spans="1:8">
      <c r="A42" s="145" t="s">
        <v>1870</v>
      </c>
    </row>
    <row r="43" spans="1:8">
      <c r="A43" s="145" t="s">
        <v>1874</v>
      </c>
    </row>
    <row r="44" spans="1:8">
      <c r="D44" s="41" t="s">
        <v>97</v>
      </c>
    </row>
    <row r="45" spans="1:8">
      <c r="D45" s="42" t="b">
        <f>OR(H6=1,H6=2,H6=3)</f>
        <v>1</v>
      </c>
    </row>
    <row r="47" spans="1:8" ht="47.25">
      <c r="A47" s="69" t="s">
        <v>1073</v>
      </c>
      <c r="B47" s="70" t="s">
        <v>1808</v>
      </c>
      <c r="C47" s="70" t="s">
        <v>1809</v>
      </c>
      <c r="D47" s="69" t="s">
        <v>1810</v>
      </c>
      <c r="E47" s="70" t="s">
        <v>1811</v>
      </c>
      <c r="F47" s="69" t="s">
        <v>1812</v>
      </c>
      <c r="G47" s="70" t="s">
        <v>1813</v>
      </c>
      <c r="H47" s="69" t="s">
        <v>1814</v>
      </c>
    </row>
    <row r="48" spans="1:8">
      <c r="A48" s="383">
        <v>2</v>
      </c>
      <c r="B48" s="383" t="s">
        <v>1816</v>
      </c>
      <c r="C48" s="718" t="s">
        <v>1856</v>
      </c>
      <c r="D48" s="718" t="s">
        <v>1831</v>
      </c>
      <c r="E48" s="719">
        <v>0.34722222222222227</v>
      </c>
      <c r="F48" s="720">
        <v>9.7222222222222265E-2</v>
      </c>
      <c r="G48" s="721">
        <v>51.428571428571423</v>
      </c>
      <c r="H48" s="391">
        <v>1</v>
      </c>
    </row>
    <row r="49" spans="1:8">
      <c r="A49" s="383">
        <v>10</v>
      </c>
      <c r="B49" s="383" t="s">
        <v>1824</v>
      </c>
      <c r="C49" s="718" t="s">
        <v>1855</v>
      </c>
      <c r="D49" s="718" t="s">
        <v>1834</v>
      </c>
      <c r="E49" s="719">
        <v>0.34791666666666665</v>
      </c>
      <c r="F49" s="720">
        <v>9.7916666666666652E-2</v>
      </c>
      <c r="G49" s="721">
        <v>51.063829787234042</v>
      </c>
      <c r="H49" s="391">
        <v>2</v>
      </c>
    </row>
    <row r="50" spans="1:8">
      <c r="A50" s="383">
        <v>6</v>
      </c>
      <c r="B50" s="383" t="s">
        <v>1820</v>
      </c>
      <c r="C50" s="718" t="s">
        <v>1851</v>
      </c>
      <c r="D50" s="718" t="s">
        <v>1832</v>
      </c>
      <c r="E50" s="719">
        <v>0.34861111111111115</v>
      </c>
      <c r="F50" s="720">
        <v>9.8611111111111149E-2</v>
      </c>
      <c r="G50" s="721">
        <v>50.704225352112672</v>
      </c>
      <c r="H50" s="391">
        <v>3</v>
      </c>
    </row>
  </sheetData>
  <dataConsolidate/>
  <mergeCells count="26">
    <mergeCell ref="H21:I21"/>
    <mergeCell ref="B20:D20"/>
    <mergeCell ref="A17:D17"/>
    <mergeCell ref="H27:I27"/>
    <mergeCell ref="H18:I18"/>
    <mergeCell ref="H26:I26"/>
    <mergeCell ref="H22:I22"/>
    <mergeCell ref="B22:D22"/>
    <mergeCell ref="H23:I23"/>
    <mergeCell ref="H20:I20"/>
    <mergeCell ref="H25:I25"/>
    <mergeCell ref="H24:I24"/>
    <mergeCell ref="A3:H3"/>
    <mergeCell ref="A4:C4"/>
    <mergeCell ref="D4:H4"/>
    <mergeCell ref="F18:F28"/>
    <mergeCell ref="H19:I19"/>
    <mergeCell ref="B18:D18"/>
    <mergeCell ref="H28:I28"/>
    <mergeCell ref="B19:D19"/>
    <mergeCell ref="B40:C40"/>
    <mergeCell ref="B21:D21"/>
    <mergeCell ref="B36:C36"/>
    <mergeCell ref="B37:C37"/>
    <mergeCell ref="B38:C38"/>
    <mergeCell ref="B39:C39"/>
  </mergeCells>
  <phoneticPr fontId="2" type="noConversion"/>
  <pageMargins left="0.75" right="0.5" top="0.5" bottom="0.5" header="0.5" footer="0.5"/>
  <pageSetup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E0DDC-16D0-499A-96DE-05FCC7AAA53C}">
  <dimension ref="A1:L52"/>
  <sheetViews>
    <sheetView zoomScaleNormal="100" workbookViewId="0">
      <selection activeCell="L1" sqref="L1"/>
    </sheetView>
  </sheetViews>
  <sheetFormatPr defaultRowHeight="15.75"/>
  <cols>
    <col min="1" max="1" width="7.7109375" style="145" customWidth="1"/>
    <col min="2" max="2" width="16.28515625" style="145" customWidth="1"/>
    <col min="3" max="4" width="9.140625" style="145"/>
    <col min="5" max="5" width="9.5703125" style="145" customWidth="1"/>
    <col min="6" max="6" width="10.5703125" style="145" customWidth="1"/>
    <col min="7" max="7" width="11.5703125" style="145" customWidth="1"/>
    <col min="8" max="8" width="10.5703125" style="145" customWidth="1"/>
    <col min="9" max="9" width="15.85546875" style="145" customWidth="1"/>
    <col min="10" max="10" width="2.85546875" style="145" customWidth="1"/>
    <col min="11" max="16384" width="9.140625" style="145"/>
  </cols>
  <sheetData>
    <row r="1" spans="1:12">
      <c r="A1" s="717" t="s">
        <v>1875</v>
      </c>
      <c r="L1" s="886" t="s">
        <v>1991</v>
      </c>
    </row>
    <row r="2" spans="1:12" ht="20.25">
      <c r="A2" s="1055" t="s">
        <v>1876</v>
      </c>
      <c r="B2" s="1055"/>
      <c r="C2" s="1055"/>
      <c r="D2" s="1055"/>
      <c r="E2" s="1055"/>
      <c r="F2" s="1055"/>
      <c r="G2" s="1055"/>
      <c r="H2" s="1055"/>
      <c r="I2" s="1055"/>
    </row>
    <row r="3" spans="1:12">
      <c r="A3" s="1056" t="s">
        <v>1498</v>
      </c>
      <c r="B3" s="1056" t="s">
        <v>1497</v>
      </c>
      <c r="C3" s="1056" t="s">
        <v>1496</v>
      </c>
      <c r="D3" s="1056" t="s">
        <v>1495</v>
      </c>
      <c r="E3" s="917" t="s">
        <v>1877</v>
      </c>
      <c r="F3" s="917"/>
      <c r="G3" s="1056" t="s">
        <v>1194</v>
      </c>
      <c r="H3" s="1056" t="s">
        <v>1493</v>
      </c>
      <c r="I3" s="1056" t="s">
        <v>1494</v>
      </c>
    </row>
    <row r="4" spans="1:12">
      <c r="A4" s="1056"/>
      <c r="B4" s="1056"/>
      <c r="C4" s="1056"/>
      <c r="D4" s="1056"/>
      <c r="E4" s="69" t="s">
        <v>1492</v>
      </c>
      <c r="F4" s="69" t="s">
        <v>1878</v>
      </c>
      <c r="G4" s="1056"/>
      <c r="H4" s="1056"/>
      <c r="I4" s="1056"/>
      <c r="L4" s="733"/>
    </row>
    <row r="5" spans="1:12">
      <c r="A5" s="675" t="s">
        <v>1879</v>
      </c>
      <c r="B5" s="725" t="str">
        <f>IF(RIGHT(A5,1)="I","Internet",IF(RIGHT(A5,1)="T","Thực hành","Check Mail"))</f>
        <v>Thực hành</v>
      </c>
      <c r="C5" s="726">
        <v>0.375</v>
      </c>
      <c r="D5" s="726">
        <v>0.4375</v>
      </c>
      <c r="E5" s="727">
        <f t="shared" ref="E5:E13" si="0">HOUR(D5-C5)</f>
        <v>1</v>
      </c>
      <c r="F5" s="727">
        <f t="shared" ref="F5:F13" si="1">MINUTE(D5-C5)</f>
        <v>30</v>
      </c>
      <c r="G5" s="101">
        <f t="shared" ref="G5:G13" si="2">IF(RIGHT(A5,1)="M",3500,E5*HLOOKUP(RIGHT(A5,1),$A$15:$D$17,2,0)+F5*HLOOKUP(RIGHT(A5,1),$A$15:$D$17,3,0))</f>
        <v>4500</v>
      </c>
      <c r="H5" s="101">
        <f>IF(E5+F5/60&gt;2,20%*G5,0)</f>
        <v>0</v>
      </c>
      <c r="I5" s="101">
        <f>G5-H5</f>
        <v>4500</v>
      </c>
    </row>
    <row r="6" spans="1:12">
      <c r="A6" s="675" t="s">
        <v>1880</v>
      </c>
      <c r="B6" s="725" t="str">
        <f t="shared" ref="B6:B13" si="3">IF(RIGHT(A6,1)="I","Internet",IF(RIGHT(A6,1)="T","Thực hành","Check Mail"))</f>
        <v>Internet</v>
      </c>
      <c r="C6" s="726">
        <v>0.37847222222222227</v>
      </c>
      <c r="D6" s="726">
        <v>0.41666666666666669</v>
      </c>
      <c r="E6" s="727">
        <f t="shared" si="0"/>
        <v>0</v>
      </c>
      <c r="F6" s="727">
        <f t="shared" si="1"/>
        <v>55</v>
      </c>
      <c r="G6" s="101">
        <f t="shared" si="2"/>
        <v>5500</v>
      </c>
      <c r="H6" s="101">
        <f t="shared" ref="H6:H13" si="4">IF(E6+F6/60&gt;2,20%*G6,0)</f>
        <v>0</v>
      </c>
      <c r="I6" s="101">
        <f t="shared" ref="I6:I13" si="5">G6-H6</f>
        <v>5500</v>
      </c>
    </row>
    <row r="7" spans="1:12">
      <c r="A7" s="675" t="s">
        <v>1881</v>
      </c>
      <c r="B7" s="725" t="str">
        <f t="shared" si="3"/>
        <v>Check Mail</v>
      </c>
      <c r="C7" s="726">
        <v>0.58333333333333337</v>
      </c>
      <c r="D7" s="726">
        <v>0.59375</v>
      </c>
      <c r="E7" s="727">
        <f t="shared" si="0"/>
        <v>0</v>
      </c>
      <c r="F7" s="727">
        <f t="shared" si="1"/>
        <v>15</v>
      </c>
      <c r="G7" s="101">
        <f t="shared" si="2"/>
        <v>3500</v>
      </c>
      <c r="H7" s="101">
        <f t="shared" si="4"/>
        <v>0</v>
      </c>
      <c r="I7" s="101">
        <f t="shared" si="5"/>
        <v>3500</v>
      </c>
    </row>
    <row r="8" spans="1:12">
      <c r="A8" s="675" t="s">
        <v>1882</v>
      </c>
      <c r="B8" s="725" t="str">
        <f t="shared" si="3"/>
        <v>Thực hành</v>
      </c>
      <c r="C8" s="726">
        <v>0.64583333333333337</v>
      </c>
      <c r="D8" s="726">
        <v>0.75</v>
      </c>
      <c r="E8" s="727">
        <f t="shared" si="0"/>
        <v>2</v>
      </c>
      <c r="F8" s="727">
        <f t="shared" si="1"/>
        <v>30</v>
      </c>
      <c r="G8" s="101">
        <f t="shared" si="2"/>
        <v>7500</v>
      </c>
      <c r="H8" s="101">
        <f t="shared" si="4"/>
        <v>1500</v>
      </c>
      <c r="I8" s="101">
        <f t="shared" si="5"/>
        <v>6000</v>
      </c>
    </row>
    <row r="9" spans="1:12">
      <c r="A9" s="675" t="s">
        <v>1883</v>
      </c>
      <c r="B9" s="725" t="str">
        <f t="shared" si="3"/>
        <v>Internet</v>
      </c>
      <c r="C9" s="726">
        <v>0.79166666666666663</v>
      </c>
      <c r="D9" s="726">
        <v>0.85416666666666663</v>
      </c>
      <c r="E9" s="727">
        <f t="shared" si="0"/>
        <v>1</v>
      </c>
      <c r="F9" s="727">
        <f t="shared" si="1"/>
        <v>30</v>
      </c>
      <c r="G9" s="101">
        <f t="shared" si="2"/>
        <v>7000</v>
      </c>
      <c r="H9" s="101">
        <f t="shared" si="4"/>
        <v>0</v>
      </c>
      <c r="I9" s="101">
        <f t="shared" si="5"/>
        <v>7000</v>
      </c>
    </row>
    <row r="10" spans="1:12">
      <c r="A10" s="675" t="s">
        <v>1880</v>
      </c>
      <c r="B10" s="725" t="str">
        <f t="shared" si="3"/>
        <v>Internet</v>
      </c>
      <c r="C10" s="726">
        <v>0.4375</v>
      </c>
      <c r="D10" s="726">
        <v>0.64583333333333337</v>
      </c>
      <c r="E10" s="727">
        <f t="shared" si="0"/>
        <v>5</v>
      </c>
      <c r="F10" s="727">
        <f t="shared" si="1"/>
        <v>0</v>
      </c>
      <c r="G10" s="101">
        <f t="shared" si="2"/>
        <v>20000</v>
      </c>
      <c r="H10" s="101">
        <f t="shared" si="4"/>
        <v>4000</v>
      </c>
      <c r="I10" s="101">
        <f t="shared" si="5"/>
        <v>16000</v>
      </c>
    </row>
    <row r="11" spans="1:12">
      <c r="A11" s="675" t="s">
        <v>1884</v>
      </c>
      <c r="B11" s="725" t="str">
        <f t="shared" si="3"/>
        <v>Internet</v>
      </c>
      <c r="C11" s="726">
        <v>0.75694444444444453</v>
      </c>
      <c r="D11" s="726">
        <v>0.84375</v>
      </c>
      <c r="E11" s="727">
        <f t="shared" si="0"/>
        <v>2</v>
      </c>
      <c r="F11" s="727">
        <f t="shared" si="1"/>
        <v>5</v>
      </c>
      <c r="G11" s="101">
        <f t="shared" si="2"/>
        <v>8500</v>
      </c>
      <c r="H11" s="101">
        <f t="shared" si="4"/>
        <v>1700</v>
      </c>
      <c r="I11" s="101">
        <f t="shared" si="5"/>
        <v>6800</v>
      </c>
    </row>
    <row r="12" spans="1:12">
      <c r="A12" s="675" t="s">
        <v>1885</v>
      </c>
      <c r="B12" s="725" t="str">
        <f t="shared" si="3"/>
        <v>Check Mail</v>
      </c>
      <c r="C12" s="726">
        <v>0.70833333333333337</v>
      </c>
      <c r="D12" s="726">
        <v>0.71875</v>
      </c>
      <c r="E12" s="727">
        <f t="shared" si="0"/>
        <v>0</v>
      </c>
      <c r="F12" s="727">
        <f t="shared" si="1"/>
        <v>15</v>
      </c>
      <c r="G12" s="101">
        <f t="shared" si="2"/>
        <v>3500</v>
      </c>
      <c r="H12" s="101">
        <f t="shared" si="4"/>
        <v>0</v>
      </c>
      <c r="I12" s="101">
        <f t="shared" si="5"/>
        <v>3500</v>
      </c>
    </row>
    <row r="13" spans="1:12">
      <c r="A13" s="675" t="s">
        <v>1886</v>
      </c>
      <c r="B13" s="725" t="str">
        <f t="shared" si="3"/>
        <v>Thực hành</v>
      </c>
      <c r="C13" s="726">
        <v>0.375</v>
      </c>
      <c r="D13" s="726">
        <v>0.45833333333333331</v>
      </c>
      <c r="E13" s="727">
        <f t="shared" si="0"/>
        <v>2</v>
      </c>
      <c r="F13" s="727">
        <f t="shared" si="1"/>
        <v>0</v>
      </c>
      <c r="G13" s="101">
        <f t="shared" si="2"/>
        <v>6000</v>
      </c>
      <c r="H13" s="101">
        <f t="shared" si="4"/>
        <v>0</v>
      </c>
      <c r="I13" s="101">
        <f t="shared" si="5"/>
        <v>6000</v>
      </c>
    </row>
    <row r="14" spans="1:12">
      <c r="A14" s="1049" t="s">
        <v>1379</v>
      </c>
      <c r="B14" s="1049"/>
      <c r="C14" s="1049"/>
      <c r="D14" s="1049"/>
      <c r="E14" s="732"/>
      <c r="F14" s="1049" t="s">
        <v>1185</v>
      </c>
      <c r="G14" s="1049"/>
      <c r="H14" s="1049"/>
      <c r="I14" s="1049"/>
    </row>
    <row r="15" spans="1:12">
      <c r="A15" s="1052" t="s">
        <v>1887</v>
      </c>
      <c r="B15" s="1052"/>
      <c r="C15" s="465" t="s">
        <v>1888</v>
      </c>
      <c r="D15" s="465" t="s">
        <v>1383</v>
      </c>
      <c r="F15" s="465" t="s">
        <v>1891</v>
      </c>
      <c r="G15" s="465" t="s">
        <v>1892</v>
      </c>
      <c r="H15" s="1053" t="s">
        <v>1893</v>
      </c>
      <c r="I15" s="1054"/>
    </row>
    <row r="16" spans="1:12">
      <c r="A16" s="1051" t="s">
        <v>1889</v>
      </c>
      <c r="B16" s="1051"/>
      <c r="C16" s="675">
        <v>4000</v>
      </c>
      <c r="D16" s="675">
        <v>3000</v>
      </c>
      <c r="F16" s="675" t="s">
        <v>1894</v>
      </c>
      <c r="G16" s="101">
        <f>SUMIF($A$5:$A$13,F16&amp;"*",$I$5:$I$13)</f>
        <v>11300</v>
      </c>
      <c r="H16" s="1050">
        <f>COUNTIF($A$5:$A$13,F16&amp;"*")</f>
        <v>2</v>
      </c>
      <c r="I16" s="1050"/>
    </row>
    <row r="17" spans="1:10">
      <c r="A17" s="1051" t="s">
        <v>1890</v>
      </c>
      <c r="B17" s="1051"/>
      <c r="C17" s="675">
        <v>100</v>
      </c>
      <c r="D17" s="675">
        <v>50</v>
      </c>
      <c r="F17" s="675" t="s">
        <v>1895</v>
      </c>
      <c r="G17" s="101">
        <f>SUMIF($A$5:$A$13,F17&amp;"*",$I$5:$I$13)</f>
        <v>21500</v>
      </c>
      <c r="H17" s="1050">
        <f>COUNTIF($A$5:$A$13,F17&amp;"*")</f>
        <v>2</v>
      </c>
      <c r="I17" s="1050"/>
    </row>
    <row r="18" spans="1:10">
      <c r="F18" s="675" t="s">
        <v>1896</v>
      </c>
      <c r="G18" s="101">
        <f>SUMIF($A$5:$A$13,F18&amp;"*",$I$5:$I$13)</f>
        <v>3500</v>
      </c>
      <c r="H18" s="1050">
        <f>COUNTIF($A$5:$A$13,F18&amp;"*")</f>
        <v>1</v>
      </c>
      <c r="I18" s="1050"/>
    </row>
    <row r="19" spans="1:10">
      <c r="A19" s="730" t="s">
        <v>1354</v>
      </c>
      <c r="B19" s="729"/>
      <c r="C19" s="729"/>
      <c r="D19" s="729"/>
      <c r="E19" s="729"/>
      <c r="F19" s="729"/>
      <c r="G19" s="729"/>
      <c r="H19" s="729"/>
      <c r="I19" s="729"/>
      <c r="J19" s="728"/>
    </row>
    <row r="20" spans="1:10">
      <c r="A20" s="731" t="s">
        <v>1897</v>
      </c>
      <c r="B20" s="729"/>
      <c r="C20" s="729"/>
      <c r="D20" s="729"/>
      <c r="E20" s="729"/>
      <c r="F20" s="729"/>
      <c r="G20" s="729"/>
      <c r="H20" s="729"/>
      <c r="I20" s="729"/>
      <c r="J20" s="728"/>
    </row>
    <row r="21" spans="1:10">
      <c r="A21" s="731" t="s">
        <v>1898</v>
      </c>
      <c r="B21" s="729"/>
      <c r="C21" s="729"/>
      <c r="D21" s="729"/>
      <c r="E21" s="729"/>
      <c r="F21" s="729"/>
      <c r="G21" s="729"/>
      <c r="H21" s="729"/>
      <c r="I21" s="729"/>
      <c r="J21" s="728"/>
    </row>
    <row r="22" spans="1:10" ht="18" customHeight="1">
      <c r="A22" s="730" t="s">
        <v>1221</v>
      </c>
      <c r="B22" s="729"/>
      <c r="C22" s="729"/>
      <c r="D22" s="729"/>
      <c r="E22" s="729"/>
      <c r="F22" s="729"/>
      <c r="G22" s="729"/>
      <c r="H22" s="729"/>
      <c r="I22" s="729"/>
      <c r="J22" s="728"/>
    </row>
    <row r="23" spans="1:10" ht="18.75" customHeight="1">
      <c r="A23" s="729" t="s">
        <v>1899</v>
      </c>
      <c r="B23" s="729"/>
      <c r="C23" s="729"/>
      <c r="D23" s="729"/>
      <c r="E23" s="729"/>
      <c r="F23" s="729"/>
      <c r="G23" s="729"/>
      <c r="H23" s="729"/>
      <c r="I23" s="729"/>
      <c r="J23" s="728"/>
    </row>
    <row r="24" spans="1:10" ht="18.75" customHeight="1">
      <c r="A24" s="729" t="s">
        <v>1900</v>
      </c>
      <c r="B24" s="729"/>
      <c r="C24" s="729"/>
      <c r="D24" s="729"/>
      <c r="E24" s="729"/>
      <c r="F24" s="729"/>
      <c r="G24" s="729"/>
      <c r="H24" s="729"/>
      <c r="I24" s="729"/>
      <c r="J24" s="728"/>
    </row>
    <row r="25" spans="1:10">
      <c r="A25" s="729" t="s">
        <v>1901</v>
      </c>
      <c r="B25" s="729"/>
      <c r="C25" s="729"/>
      <c r="D25" s="729"/>
      <c r="E25" s="729"/>
      <c r="F25" s="729"/>
      <c r="G25" s="729"/>
      <c r="H25" s="729"/>
      <c r="I25" s="729"/>
      <c r="J25" s="728"/>
    </row>
    <row r="26" spans="1:10" ht="19.5" customHeight="1">
      <c r="A26" s="729" t="s">
        <v>1902</v>
      </c>
      <c r="B26" s="729"/>
      <c r="C26" s="729"/>
      <c r="D26" s="729"/>
      <c r="E26" s="729"/>
      <c r="F26" s="729"/>
      <c r="G26" s="729"/>
      <c r="H26" s="729"/>
      <c r="I26" s="729"/>
      <c r="J26" s="728"/>
    </row>
    <row r="27" spans="1:10">
      <c r="A27" s="729" t="s">
        <v>1903</v>
      </c>
      <c r="B27" s="729"/>
      <c r="C27" s="729"/>
      <c r="D27" s="729"/>
      <c r="E27" s="729"/>
      <c r="F27" s="729"/>
      <c r="G27" s="729"/>
      <c r="H27" s="729"/>
      <c r="I27" s="729"/>
      <c r="J27" s="728"/>
    </row>
    <row r="28" spans="1:10" ht="19.5" customHeight="1">
      <c r="A28" s="729" t="s">
        <v>1904</v>
      </c>
      <c r="B28" s="729"/>
      <c r="C28" s="729"/>
      <c r="D28" s="729"/>
      <c r="E28" s="729"/>
      <c r="F28" s="729"/>
      <c r="G28" s="729"/>
      <c r="H28" s="729"/>
      <c r="I28" s="729"/>
      <c r="J28" s="728"/>
    </row>
    <row r="29" spans="1:10">
      <c r="A29" s="731" t="s">
        <v>1905</v>
      </c>
      <c r="B29" s="729"/>
      <c r="C29" s="729"/>
      <c r="D29" s="729"/>
      <c r="E29" s="729"/>
      <c r="F29" s="729"/>
      <c r="G29" s="729"/>
      <c r="H29" s="729"/>
      <c r="I29" s="729"/>
      <c r="J29" s="728"/>
    </row>
    <row r="30" spans="1:10">
      <c r="A30" s="729" t="s">
        <v>1906</v>
      </c>
      <c r="B30" s="729"/>
      <c r="C30" s="729"/>
      <c r="D30" s="729"/>
      <c r="E30" s="729"/>
      <c r="F30" s="729"/>
      <c r="G30" s="729"/>
      <c r="H30" s="729"/>
      <c r="I30" s="729"/>
      <c r="J30" s="728"/>
    </row>
    <row r="31" spans="1:10">
      <c r="A31" s="729" t="s">
        <v>1907</v>
      </c>
      <c r="B31" s="729"/>
      <c r="C31" s="729"/>
      <c r="D31" s="729"/>
      <c r="E31" s="729"/>
      <c r="F31" s="729"/>
      <c r="G31" s="729"/>
      <c r="H31" s="729"/>
      <c r="I31" s="729"/>
      <c r="J31" s="728"/>
    </row>
    <row r="32" spans="1:10">
      <c r="A32" s="729" t="s">
        <v>1908</v>
      </c>
      <c r="B32" s="729"/>
      <c r="C32" s="729"/>
      <c r="D32" s="729"/>
      <c r="E32" s="729"/>
      <c r="F32" s="729"/>
      <c r="G32" s="729"/>
      <c r="H32" s="729"/>
      <c r="I32" s="729"/>
      <c r="J32" s="728"/>
    </row>
    <row r="33" spans="1:10" ht="20.25" customHeight="1">
      <c r="A33" s="729" t="s">
        <v>1909</v>
      </c>
      <c r="B33" s="729"/>
      <c r="C33" s="729"/>
      <c r="D33" s="729"/>
      <c r="E33" s="729"/>
      <c r="F33" s="729"/>
      <c r="G33" s="729"/>
      <c r="H33" s="729"/>
      <c r="I33" s="729"/>
      <c r="J33" s="728"/>
    </row>
    <row r="34" spans="1:10" ht="18.75" customHeight="1">
      <c r="A34" s="729" t="s">
        <v>1910</v>
      </c>
      <c r="B34" s="729"/>
      <c r="C34" s="729"/>
      <c r="D34" s="729"/>
      <c r="E34" s="729"/>
      <c r="F34" s="729"/>
      <c r="G34" s="729"/>
      <c r="H34" s="729"/>
      <c r="I34" s="729"/>
      <c r="J34" s="728"/>
    </row>
    <row r="35" spans="1:10" ht="21" customHeight="1">
      <c r="A35" s="729" t="s">
        <v>1911</v>
      </c>
      <c r="B35" s="729"/>
      <c r="C35" s="729"/>
      <c r="D35" s="729"/>
      <c r="E35" s="729"/>
      <c r="F35" s="729"/>
      <c r="G35" s="729"/>
      <c r="H35" s="729"/>
      <c r="I35" s="729"/>
      <c r="J35" s="728"/>
    </row>
    <row r="36" spans="1:10" ht="19.5" customHeight="1">
      <c r="A36" s="729" t="s">
        <v>49</v>
      </c>
      <c r="B36" s="729"/>
      <c r="C36" s="729"/>
      <c r="D36" s="729"/>
      <c r="E36" s="729"/>
      <c r="F36" s="729"/>
      <c r="G36" s="729"/>
      <c r="H36" s="729"/>
      <c r="I36" s="729"/>
      <c r="J36" s="728"/>
    </row>
    <row r="37" spans="1:10" ht="19.5" customHeight="1">
      <c r="A37" s="729" t="s">
        <v>1912</v>
      </c>
      <c r="B37" s="729"/>
      <c r="C37" s="729"/>
      <c r="D37" s="729"/>
      <c r="E37" s="729"/>
      <c r="F37" s="729"/>
      <c r="G37" s="729"/>
      <c r="H37" s="729"/>
      <c r="I37" s="729"/>
      <c r="J37" s="728"/>
    </row>
    <row r="38" spans="1:10">
      <c r="A38" s="696"/>
      <c r="B38" s="696"/>
      <c r="C38" s="696"/>
      <c r="D38" s="696"/>
      <c r="E38" s="696"/>
      <c r="F38" s="696"/>
      <c r="G38" s="696"/>
      <c r="H38" s="696"/>
      <c r="I38" s="696"/>
    </row>
    <row r="40" spans="1:10" ht="15.75" customHeight="1"/>
    <row r="41" spans="1:10" ht="15.75" customHeight="1"/>
    <row r="47" spans="1:10" s="696" customFormat="1" ht="12.75"/>
    <row r="48" spans="1:10" s="696" customFormat="1" ht="12.75"/>
    <row r="49" s="696" customFormat="1" ht="12.75"/>
    <row r="52" ht="15.75" customHeight="1"/>
  </sheetData>
  <mergeCells count="18">
    <mergeCell ref="E3:F3"/>
    <mergeCell ref="A2:I2"/>
    <mergeCell ref="A3:A4"/>
    <mergeCell ref="B3:B4"/>
    <mergeCell ref="C3:C4"/>
    <mergeCell ref="D3:D4"/>
    <mergeCell ref="G3:G4"/>
    <mergeCell ref="H3:H4"/>
    <mergeCell ref="I3:I4"/>
    <mergeCell ref="F14:I14"/>
    <mergeCell ref="A14:D14"/>
    <mergeCell ref="H18:I18"/>
    <mergeCell ref="A16:B16"/>
    <mergeCell ref="A17:B17"/>
    <mergeCell ref="A15:B15"/>
    <mergeCell ref="H15:I15"/>
    <mergeCell ref="H16:I16"/>
    <mergeCell ref="H17:I17"/>
  </mergeCells>
  <phoneticPr fontId="2" type="noConversion"/>
  <pageMargins left="0.23622047244094491" right="0.23622047244094491" top="0.23622047244094491" bottom="0.23622047244094491" header="0.51181102362204722" footer="0.51181102362204722"/>
  <pageSetup paperSize="9" orientation="portrait" r:id="rId1"/>
  <headerFooter alignWithMargins="0"/>
  <ignoredErrors>
    <ignoredError sqref="F16:F18"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37D74-B31A-4FA8-84BD-3AD82F71B2AB}">
  <sheetPr>
    <pageSetUpPr fitToPage="1"/>
  </sheetPr>
  <dimension ref="A1:K49"/>
  <sheetViews>
    <sheetView zoomScaleNormal="100" workbookViewId="0">
      <selection activeCell="K1" sqref="K1"/>
    </sheetView>
  </sheetViews>
  <sheetFormatPr defaultRowHeight="15.75"/>
  <cols>
    <col min="1" max="1" width="9.140625" style="2"/>
    <col min="2" max="2" width="12.7109375" style="2" customWidth="1"/>
    <col min="3" max="3" width="9.140625" style="2"/>
    <col min="4" max="5" width="11.28515625" style="2" bestFit="1" customWidth="1"/>
    <col min="6" max="6" width="8" style="2" customWidth="1"/>
    <col min="7" max="7" width="11.42578125" style="2" customWidth="1"/>
    <col min="8" max="8" width="9.140625" style="2"/>
    <col min="9" max="9" width="8.5703125" style="2" customWidth="1"/>
    <col min="10" max="10" width="10.42578125" style="2" customWidth="1"/>
    <col min="11" max="16384" width="9.140625" style="2"/>
  </cols>
  <sheetData>
    <row r="1" spans="1:11">
      <c r="A1" s="9" t="s">
        <v>1913</v>
      </c>
      <c r="K1" s="2" t="s">
        <v>1991</v>
      </c>
    </row>
    <row r="2" spans="1:11" ht="30" customHeight="1" thickBot="1">
      <c r="A2" s="1058" t="s">
        <v>1914</v>
      </c>
      <c r="B2" s="1058"/>
      <c r="C2" s="1058"/>
      <c r="D2" s="1058"/>
      <c r="E2" s="1058"/>
      <c r="F2" s="1058"/>
      <c r="G2" s="1058"/>
      <c r="H2" s="1058"/>
      <c r="I2" s="1058"/>
      <c r="J2" s="1058"/>
    </row>
    <row r="3" spans="1:11" ht="34.5" customHeight="1" thickTop="1">
      <c r="A3" s="43" t="s">
        <v>1915</v>
      </c>
      <c r="B3" s="44" t="s">
        <v>1916</v>
      </c>
      <c r="C3" s="44" t="s">
        <v>1917</v>
      </c>
      <c r="D3" s="44" t="s">
        <v>1918</v>
      </c>
      <c r="E3" s="44" t="s">
        <v>1919</v>
      </c>
      <c r="F3" s="45" t="s">
        <v>1965</v>
      </c>
      <c r="G3" s="45" t="s">
        <v>1966</v>
      </c>
      <c r="H3" s="44" t="s">
        <v>1920</v>
      </c>
      <c r="I3" s="44" t="s">
        <v>1921</v>
      </c>
      <c r="J3" s="46" t="s">
        <v>1967</v>
      </c>
    </row>
    <row r="4" spans="1:11">
      <c r="A4" s="57" t="s">
        <v>1926</v>
      </c>
      <c r="B4" s="58" t="s">
        <v>1930</v>
      </c>
      <c r="C4" s="58" t="s">
        <v>1932</v>
      </c>
      <c r="D4" s="59">
        <v>38971</v>
      </c>
      <c r="E4" s="59">
        <v>38975</v>
      </c>
      <c r="F4" s="47">
        <f t="shared" ref="F4:F13" si="0">(E4-D4)+1</f>
        <v>5</v>
      </c>
      <c r="G4" s="48">
        <f t="shared" ref="G4:G13" si="1">F4*HLOOKUP(MID(C4,3,1),$C$16:$E$20,IF(LEFT(C4,2)="L1",3,IF(LEFT(C4,2)="L2",4,5)),0)</f>
        <v>200</v>
      </c>
      <c r="H4" s="49">
        <f t="shared" ref="H4:H13" si="2">F4*HLOOKUP(RIGHT(C4,2), $G$16:$J$17,2,0) *1000</f>
        <v>75000</v>
      </c>
      <c r="I4" s="49">
        <f t="shared" ref="I4:I13" si="3">IF(B4="Việt Nam",0,F4*2)</f>
        <v>10</v>
      </c>
      <c r="J4" s="50">
        <f t="shared" ref="J4:J13" si="4">SUM(G4:I4)</f>
        <v>75210</v>
      </c>
    </row>
    <row r="5" spans="1:11">
      <c r="A5" s="60" t="s">
        <v>1005</v>
      </c>
      <c r="B5" s="61" t="s">
        <v>1786</v>
      </c>
      <c r="C5" s="61" t="s">
        <v>1932</v>
      </c>
      <c r="D5" s="62">
        <v>38961</v>
      </c>
      <c r="E5" s="62">
        <v>38965</v>
      </c>
      <c r="F5" s="51">
        <f t="shared" si="0"/>
        <v>5</v>
      </c>
      <c r="G5" s="48">
        <f t="shared" si="1"/>
        <v>200</v>
      </c>
      <c r="H5" s="49">
        <f t="shared" si="2"/>
        <v>75000</v>
      </c>
      <c r="I5" s="49">
        <f t="shared" si="3"/>
        <v>10</v>
      </c>
      <c r="J5" s="50">
        <f t="shared" si="4"/>
        <v>75210</v>
      </c>
    </row>
    <row r="6" spans="1:11">
      <c r="A6" s="60" t="s">
        <v>1924</v>
      </c>
      <c r="B6" s="61" t="s">
        <v>1928</v>
      </c>
      <c r="C6" s="61" t="s">
        <v>1937</v>
      </c>
      <c r="D6" s="62">
        <v>38981</v>
      </c>
      <c r="E6" s="62">
        <v>38990</v>
      </c>
      <c r="F6" s="51">
        <f t="shared" si="0"/>
        <v>10</v>
      </c>
      <c r="G6" s="48">
        <f t="shared" si="1"/>
        <v>400</v>
      </c>
      <c r="H6" s="49">
        <f t="shared" si="2"/>
        <v>50000</v>
      </c>
      <c r="I6" s="49">
        <f t="shared" si="3"/>
        <v>0</v>
      </c>
      <c r="J6" s="50">
        <f t="shared" si="4"/>
        <v>50400</v>
      </c>
    </row>
    <row r="7" spans="1:11">
      <c r="A7" s="60" t="s">
        <v>1010</v>
      </c>
      <c r="B7" s="61" t="s">
        <v>1786</v>
      </c>
      <c r="C7" s="61" t="s">
        <v>50</v>
      </c>
      <c r="D7" s="62">
        <v>38970</v>
      </c>
      <c r="E7" s="62">
        <v>38975</v>
      </c>
      <c r="F7" s="51">
        <f t="shared" si="0"/>
        <v>6</v>
      </c>
      <c r="G7" s="48">
        <f t="shared" si="1"/>
        <v>210</v>
      </c>
      <c r="H7" s="49">
        <f t="shared" si="2"/>
        <v>60000</v>
      </c>
      <c r="I7" s="49">
        <f t="shared" si="3"/>
        <v>12</v>
      </c>
      <c r="J7" s="50">
        <f t="shared" si="4"/>
        <v>60222</v>
      </c>
    </row>
    <row r="8" spans="1:11">
      <c r="A8" s="60" t="s">
        <v>1307</v>
      </c>
      <c r="B8" s="61" t="s">
        <v>1928</v>
      </c>
      <c r="C8" s="61" t="s">
        <v>1935</v>
      </c>
      <c r="D8" s="62">
        <v>38962</v>
      </c>
      <c r="E8" s="62">
        <v>38965</v>
      </c>
      <c r="F8" s="51">
        <f t="shared" si="0"/>
        <v>4</v>
      </c>
      <c r="G8" s="48">
        <f t="shared" si="1"/>
        <v>120</v>
      </c>
      <c r="H8" s="49">
        <f t="shared" si="2"/>
        <v>60000</v>
      </c>
      <c r="I8" s="49">
        <f t="shared" si="3"/>
        <v>0</v>
      </c>
      <c r="J8" s="50">
        <f t="shared" si="4"/>
        <v>60120</v>
      </c>
    </row>
    <row r="9" spans="1:11">
      <c r="A9" s="60" t="s">
        <v>1437</v>
      </c>
      <c r="B9" s="61" t="s">
        <v>1928</v>
      </c>
      <c r="C9" s="61" t="s">
        <v>1936</v>
      </c>
      <c r="D9" s="62">
        <v>38972</v>
      </c>
      <c r="E9" s="62">
        <v>38980</v>
      </c>
      <c r="F9" s="51">
        <f t="shared" si="0"/>
        <v>9</v>
      </c>
      <c r="G9" s="48">
        <f t="shared" si="1"/>
        <v>270</v>
      </c>
      <c r="H9" s="49">
        <f t="shared" si="2"/>
        <v>90000</v>
      </c>
      <c r="I9" s="49">
        <f t="shared" si="3"/>
        <v>0</v>
      </c>
      <c r="J9" s="50">
        <f t="shared" si="4"/>
        <v>90270</v>
      </c>
    </row>
    <row r="10" spans="1:11">
      <c r="A10" s="60" t="s">
        <v>1927</v>
      </c>
      <c r="B10" s="61" t="s">
        <v>1931</v>
      </c>
      <c r="C10" s="61" t="s">
        <v>1936</v>
      </c>
      <c r="D10" s="62">
        <v>38961</v>
      </c>
      <c r="E10" s="62">
        <v>38966</v>
      </c>
      <c r="F10" s="51">
        <f t="shared" si="0"/>
        <v>6</v>
      </c>
      <c r="G10" s="48">
        <f t="shared" si="1"/>
        <v>180</v>
      </c>
      <c r="H10" s="49">
        <f t="shared" si="2"/>
        <v>60000</v>
      </c>
      <c r="I10" s="49">
        <f t="shared" si="3"/>
        <v>12</v>
      </c>
      <c r="J10" s="50">
        <f t="shared" si="4"/>
        <v>60192</v>
      </c>
    </row>
    <row r="11" spans="1:11">
      <c r="A11" s="60" t="s">
        <v>1922</v>
      </c>
      <c r="B11" s="61" t="s">
        <v>1786</v>
      </c>
      <c r="C11" s="61" t="s">
        <v>1933</v>
      </c>
      <c r="D11" s="62">
        <v>38981</v>
      </c>
      <c r="E11" s="62">
        <v>38985</v>
      </c>
      <c r="F11" s="51">
        <f t="shared" si="0"/>
        <v>5</v>
      </c>
      <c r="G11" s="48">
        <f t="shared" si="1"/>
        <v>150</v>
      </c>
      <c r="H11" s="49">
        <f t="shared" si="2"/>
        <v>25000</v>
      </c>
      <c r="I11" s="49">
        <f t="shared" si="3"/>
        <v>10</v>
      </c>
      <c r="J11" s="50">
        <f t="shared" si="4"/>
        <v>25160</v>
      </c>
    </row>
    <row r="12" spans="1:11">
      <c r="A12" s="60" t="s">
        <v>1923</v>
      </c>
      <c r="B12" s="61" t="s">
        <v>1786</v>
      </c>
      <c r="C12" s="61" t="s">
        <v>1934</v>
      </c>
      <c r="D12" s="62">
        <v>38970</v>
      </c>
      <c r="E12" s="62">
        <v>38974</v>
      </c>
      <c r="F12" s="51">
        <f t="shared" si="0"/>
        <v>5</v>
      </c>
      <c r="G12" s="48">
        <f t="shared" si="1"/>
        <v>125</v>
      </c>
      <c r="H12" s="49">
        <f t="shared" si="2"/>
        <v>75000</v>
      </c>
      <c r="I12" s="49">
        <f t="shared" si="3"/>
        <v>10</v>
      </c>
      <c r="J12" s="50">
        <f t="shared" si="4"/>
        <v>75135</v>
      </c>
    </row>
    <row r="13" spans="1:11" ht="16.5" thickBot="1">
      <c r="A13" s="63" t="s">
        <v>1925</v>
      </c>
      <c r="B13" s="64" t="s">
        <v>1929</v>
      </c>
      <c r="C13" s="64" t="s">
        <v>1938</v>
      </c>
      <c r="D13" s="65">
        <v>38966</v>
      </c>
      <c r="E13" s="65">
        <v>38969</v>
      </c>
      <c r="F13" s="52">
        <f t="shared" si="0"/>
        <v>4</v>
      </c>
      <c r="G13" s="53">
        <f t="shared" si="1"/>
        <v>100</v>
      </c>
      <c r="H13" s="54">
        <f t="shared" si="2"/>
        <v>40000</v>
      </c>
      <c r="I13" s="54">
        <f t="shared" si="3"/>
        <v>8</v>
      </c>
      <c r="J13" s="55">
        <f t="shared" si="4"/>
        <v>40108</v>
      </c>
    </row>
    <row r="14" spans="1:11" ht="16.5" thickTop="1"/>
    <row r="15" spans="1:11" ht="16.5" thickBot="1">
      <c r="A15" s="15" t="s">
        <v>1939</v>
      </c>
      <c r="G15" s="15" t="s">
        <v>1945</v>
      </c>
    </row>
    <row r="16" spans="1:11" ht="17.25" thickTop="1" thickBot="1">
      <c r="A16" s="900"/>
      <c r="B16" s="902" t="s">
        <v>1940</v>
      </c>
      <c r="C16" s="1063" t="s">
        <v>1139</v>
      </c>
      <c r="D16" s="1063" t="s">
        <v>1140</v>
      </c>
      <c r="E16" s="1065" t="s">
        <v>1141</v>
      </c>
      <c r="G16" s="498" t="s">
        <v>1940</v>
      </c>
      <c r="H16" s="467" t="s">
        <v>1946</v>
      </c>
      <c r="I16" s="467" t="s">
        <v>1947</v>
      </c>
      <c r="J16" s="467" t="s">
        <v>1948</v>
      </c>
    </row>
    <row r="17" spans="1:10" ht="16.5" thickTop="1">
      <c r="A17" s="903" t="s">
        <v>1941</v>
      </c>
      <c r="B17" s="901"/>
      <c r="C17" s="1064"/>
      <c r="D17" s="1064"/>
      <c r="E17" s="1066"/>
      <c r="G17" s="440" t="s">
        <v>1212</v>
      </c>
      <c r="H17" s="439">
        <v>15</v>
      </c>
      <c r="I17" s="439">
        <v>10</v>
      </c>
      <c r="J17" s="439">
        <v>5</v>
      </c>
    </row>
    <row r="18" spans="1:10">
      <c r="A18" s="1059" t="s">
        <v>1942</v>
      </c>
      <c r="B18" s="1060"/>
      <c r="C18" s="61">
        <v>40</v>
      </c>
      <c r="D18" s="61">
        <v>35</v>
      </c>
      <c r="E18" s="67">
        <v>30</v>
      </c>
    </row>
    <row r="19" spans="1:10">
      <c r="A19" s="1059" t="s">
        <v>1943</v>
      </c>
      <c r="B19" s="1060"/>
      <c r="C19" s="61">
        <v>30</v>
      </c>
      <c r="D19" s="61">
        <v>25</v>
      </c>
      <c r="E19" s="67">
        <v>20</v>
      </c>
      <c r="G19" s="1067" t="s">
        <v>1949</v>
      </c>
      <c r="H19" s="1067"/>
      <c r="I19" s="1067"/>
      <c r="J19" s="1067"/>
    </row>
    <row r="20" spans="1:10" ht="16.5" thickBot="1">
      <c r="A20" s="1061" t="s">
        <v>1944</v>
      </c>
      <c r="B20" s="1062"/>
      <c r="C20" s="64">
        <v>20</v>
      </c>
      <c r="D20" s="64">
        <v>15</v>
      </c>
      <c r="E20" s="68">
        <v>10</v>
      </c>
      <c r="G20" s="498" t="s">
        <v>1940</v>
      </c>
      <c r="H20" s="467" t="s">
        <v>1139</v>
      </c>
      <c r="I20" s="467" t="s">
        <v>1140</v>
      </c>
      <c r="J20" s="467" t="s">
        <v>1141</v>
      </c>
    </row>
    <row r="21" spans="1:10" ht="16.5" thickTop="1">
      <c r="G21" s="439" t="s">
        <v>1942</v>
      </c>
      <c r="H21" s="500">
        <f>SUMIF($C$4:$C$13,G21&amp;"A*",$J$4:$J$13)</f>
        <v>200820</v>
      </c>
      <c r="I21" s="500">
        <f>SUMIF($C$4:$C$13,G21&amp;"B*",$J$4:$J$13)</f>
        <v>60222</v>
      </c>
      <c r="J21" s="500">
        <f>SUMIF($C$4:$C$13,G21&amp;"C*",$J$4:$J$13)</f>
        <v>60120</v>
      </c>
    </row>
    <row r="22" spans="1:10">
      <c r="G22" s="439" t="s">
        <v>1943</v>
      </c>
      <c r="H22" s="500">
        <f>SUMIF($C$4:$C$13,G22&amp;"A*",$J$4:$J$13)</f>
        <v>175622</v>
      </c>
      <c r="I22" s="500">
        <f>SUMIF($C$4:$C$13,G22&amp;"B*",$J$4:$J$13)</f>
        <v>115243</v>
      </c>
      <c r="J22" s="500">
        <f>SUMIF($C$4:$C$13,G22&amp;"C*",$J$4:$J$13)</f>
        <v>0</v>
      </c>
    </row>
    <row r="23" spans="1:10">
      <c r="A23" s="40" t="s">
        <v>1354</v>
      </c>
      <c r="B23" s="38"/>
      <c r="C23" s="38"/>
      <c r="D23" s="38"/>
      <c r="E23" s="38"/>
      <c r="F23" s="38"/>
      <c r="G23" s="38"/>
      <c r="H23" s="38"/>
      <c r="I23" s="38"/>
      <c r="J23" s="38"/>
    </row>
    <row r="24" spans="1:10">
      <c r="A24" s="39" t="s">
        <v>1950</v>
      </c>
      <c r="B24" s="38"/>
      <c r="C24" s="38"/>
      <c r="D24" s="38"/>
      <c r="E24" s="38"/>
      <c r="F24" s="38"/>
      <c r="G24" s="38"/>
      <c r="H24" s="38"/>
      <c r="I24" s="38"/>
      <c r="J24" s="38"/>
    </row>
    <row r="25" spans="1:10">
      <c r="A25" s="39" t="s">
        <v>1951</v>
      </c>
      <c r="B25" s="38"/>
      <c r="C25" s="38"/>
      <c r="D25" s="38"/>
      <c r="E25" s="38"/>
      <c r="F25" s="38"/>
      <c r="G25" s="38"/>
      <c r="H25" s="38"/>
      <c r="I25" s="38"/>
      <c r="J25" s="38"/>
    </row>
    <row r="26" spans="1:10" ht="21" customHeight="1">
      <c r="A26" s="40" t="s">
        <v>1221</v>
      </c>
      <c r="B26" s="38"/>
      <c r="C26" s="38"/>
      <c r="D26" s="38"/>
      <c r="E26" s="38"/>
      <c r="F26" s="38"/>
      <c r="G26" s="38"/>
      <c r="H26" s="38"/>
      <c r="I26" s="38"/>
      <c r="J26" s="38"/>
    </row>
    <row r="27" spans="1:10" ht="19.5" customHeight="1">
      <c r="A27" s="38" t="s">
        <v>1952</v>
      </c>
      <c r="B27" s="38"/>
      <c r="C27" s="38"/>
      <c r="D27" s="38"/>
      <c r="E27" s="38"/>
      <c r="F27" s="38"/>
      <c r="G27" s="38"/>
      <c r="H27" s="38"/>
      <c r="I27" s="38"/>
      <c r="J27" s="38"/>
    </row>
    <row r="28" spans="1:10" ht="19.5" customHeight="1">
      <c r="A28" s="38" t="s">
        <v>1953</v>
      </c>
      <c r="B28" s="38"/>
      <c r="C28" s="38"/>
      <c r="D28" s="38"/>
      <c r="E28" s="38"/>
      <c r="F28" s="38"/>
      <c r="G28" s="38"/>
      <c r="H28" s="38"/>
      <c r="I28" s="38"/>
      <c r="J28" s="38"/>
    </row>
    <row r="29" spans="1:10">
      <c r="A29" s="38" t="s">
        <v>1954</v>
      </c>
      <c r="B29" s="38"/>
      <c r="C29" s="38"/>
      <c r="D29" s="38"/>
      <c r="E29" s="38"/>
      <c r="F29" s="38"/>
      <c r="G29" s="38"/>
      <c r="H29" s="38"/>
      <c r="I29" s="38"/>
      <c r="J29" s="38"/>
    </row>
    <row r="30" spans="1:10" ht="21" customHeight="1">
      <c r="A30" s="38" t="s">
        <v>1955</v>
      </c>
      <c r="B30" s="38"/>
      <c r="C30" s="38"/>
      <c r="D30" s="38"/>
      <c r="E30" s="38"/>
      <c r="F30" s="38"/>
      <c r="G30" s="38"/>
      <c r="H30" s="38"/>
      <c r="I30" s="38"/>
      <c r="J30" s="38"/>
    </row>
    <row r="31" spans="1:10">
      <c r="A31" s="38" t="s">
        <v>1956</v>
      </c>
      <c r="B31" s="38"/>
      <c r="C31" s="38"/>
      <c r="D31" s="38"/>
      <c r="E31" s="38"/>
      <c r="F31" s="38"/>
      <c r="G31" s="38"/>
      <c r="H31" s="38"/>
      <c r="I31" s="38"/>
      <c r="J31" s="38"/>
    </row>
    <row r="32" spans="1:10" ht="20.25" customHeight="1">
      <c r="A32" s="38" t="s">
        <v>1957</v>
      </c>
      <c r="B32" s="38"/>
      <c r="C32" s="38"/>
      <c r="D32" s="38"/>
      <c r="E32" s="38"/>
      <c r="F32" s="38"/>
      <c r="G32" s="38"/>
      <c r="H32" s="38"/>
      <c r="I32" s="38"/>
      <c r="J32" s="38"/>
    </row>
    <row r="33" spans="1:10">
      <c r="A33" s="38"/>
      <c r="B33" s="39" t="s">
        <v>1958</v>
      </c>
      <c r="C33" s="38"/>
      <c r="D33" s="38"/>
      <c r="E33" s="38"/>
      <c r="F33" s="38"/>
      <c r="G33" s="38"/>
      <c r="H33" s="38"/>
      <c r="I33" s="38"/>
      <c r="J33" s="38"/>
    </row>
    <row r="34" spans="1:10">
      <c r="A34" s="38"/>
      <c r="B34" s="38" t="s">
        <v>1959</v>
      </c>
      <c r="C34" s="38"/>
      <c r="D34" s="38"/>
      <c r="E34" s="38"/>
      <c r="F34" s="38"/>
      <c r="G34" s="38"/>
      <c r="H34" s="38"/>
      <c r="I34" s="38"/>
      <c r="J34" s="38"/>
    </row>
    <row r="35" spans="1:10" ht="18.75" customHeight="1">
      <c r="A35" s="38" t="s">
        <v>1960</v>
      </c>
      <c r="B35" s="38"/>
      <c r="C35" s="38"/>
      <c r="D35" s="38"/>
      <c r="E35" s="38"/>
      <c r="F35" s="38"/>
      <c r="G35" s="38"/>
      <c r="H35" s="38"/>
      <c r="I35" s="38"/>
      <c r="J35" s="38"/>
    </row>
    <row r="36" spans="1:10" ht="21" customHeight="1">
      <c r="A36" s="38" t="s">
        <v>1961</v>
      </c>
      <c r="B36" s="38"/>
      <c r="C36" s="38"/>
      <c r="D36" s="38"/>
      <c r="E36" s="38"/>
      <c r="F36" s="38"/>
      <c r="G36" s="38"/>
      <c r="H36" s="38"/>
      <c r="I36" s="38"/>
      <c r="J36" s="38"/>
    </row>
    <row r="37" spans="1:10" ht="19.5" customHeight="1">
      <c r="A37" s="38" t="s">
        <v>1962</v>
      </c>
      <c r="B37" s="38"/>
      <c r="C37" s="38"/>
      <c r="D37" s="38"/>
      <c r="E37" s="38"/>
      <c r="F37" s="38"/>
      <c r="G37" s="38"/>
      <c r="H37" s="38"/>
      <c r="I37" s="38"/>
      <c r="J37" s="38"/>
    </row>
    <row r="38" spans="1:10">
      <c r="A38" s="38" t="s">
        <v>1963</v>
      </c>
      <c r="B38" s="38"/>
      <c r="C38" s="38"/>
      <c r="D38" s="38"/>
      <c r="E38" s="38"/>
      <c r="F38" s="38"/>
      <c r="G38" s="38"/>
      <c r="H38" s="38"/>
      <c r="I38" s="38"/>
      <c r="J38" s="38"/>
    </row>
    <row r="39" spans="1:10" ht="19.5" customHeight="1">
      <c r="A39" s="38" t="s">
        <v>43</v>
      </c>
      <c r="B39" s="38"/>
      <c r="C39" s="38"/>
      <c r="D39" s="38"/>
      <c r="E39" s="38"/>
      <c r="F39" s="38"/>
      <c r="G39" s="38"/>
      <c r="H39" s="38"/>
      <c r="I39" s="38"/>
      <c r="J39" s="38"/>
    </row>
    <row r="40" spans="1:10" ht="21" customHeight="1">
      <c r="A40" s="38" t="s">
        <v>1964</v>
      </c>
      <c r="B40" s="38"/>
      <c r="C40" s="38"/>
      <c r="D40" s="38"/>
      <c r="E40" s="38"/>
      <c r="F40" s="38"/>
      <c r="G40" s="38"/>
      <c r="H40" s="38"/>
      <c r="I40" s="38"/>
      <c r="J40" s="38"/>
    </row>
    <row r="42" spans="1:10">
      <c r="B42" s="1057" t="s">
        <v>112</v>
      </c>
      <c r="C42" s="1057"/>
    </row>
    <row r="43" spans="1:10" ht="16.5" thickBot="1">
      <c r="B43" s="1057" t="b">
        <f>AND(OR(B4="Korea",B4="Anh"),DAY(D4)&lt;=15)</f>
        <v>0</v>
      </c>
      <c r="C43" s="1057"/>
    </row>
    <row r="44" spans="1:10" ht="32.25" thickTop="1">
      <c r="A44" s="43" t="s">
        <v>1915</v>
      </c>
      <c r="B44" s="44" t="s">
        <v>1916</v>
      </c>
      <c r="C44" s="44" t="s">
        <v>1917</v>
      </c>
      <c r="D44" s="44" t="s">
        <v>1918</v>
      </c>
      <c r="E44" s="44" t="s">
        <v>1919</v>
      </c>
      <c r="F44" s="45" t="s">
        <v>1965</v>
      </c>
      <c r="G44" s="45" t="s">
        <v>1966</v>
      </c>
      <c r="H44" s="44" t="s">
        <v>1920</v>
      </c>
      <c r="I44" s="44" t="s">
        <v>1921</v>
      </c>
      <c r="J44" s="46" t="s">
        <v>1967</v>
      </c>
    </row>
    <row r="45" spans="1:10">
      <c r="A45" s="60" t="s">
        <v>1005</v>
      </c>
      <c r="B45" s="61" t="s">
        <v>1786</v>
      </c>
      <c r="C45" s="61" t="s">
        <v>1932</v>
      </c>
      <c r="D45" s="62">
        <v>38961</v>
      </c>
      <c r="E45" s="62">
        <v>38965</v>
      </c>
      <c r="F45" s="51">
        <v>5</v>
      </c>
      <c r="G45" s="48">
        <v>200</v>
      </c>
      <c r="H45" s="49">
        <v>75000</v>
      </c>
      <c r="I45" s="49">
        <v>10</v>
      </c>
      <c r="J45" s="50">
        <v>75210</v>
      </c>
    </row>
    <row r="46" spans="1:10">
      <c r="A46" s="60" t="s">
        <v>1010</v>
      </c>
      <c r="B46" s="61" t="s">
        <v>1786</v>
      </c>
      <c r="C46" s="61" t="s">
        <v>50</v>
      </c>
      <c r="D46" s="62">
        <v>38970</v>
      </c>
      <c r="E46" s="62">
        <v>38975</v>
      </c>
      <c r="F46" s="51">
        <v>6</v>
      </c>
      <c r="G46" s="48">
        <v>210</v>
      </c>
      <c r="H46" s="49">
        <v>60000</v>
      </c>
      <c r="I46" s="49">
        <v>12</v>
      </c>
      <c r="J46" s="50">
        <v>60222</v>
      </c>
    </row>
    <row r="47" spans="1:10">
      <c r="A47" s="60" t="s">
        <v>1923</v>
      </c>
      <c r="B47" s="61" t="s">
        <v>1786</v>
      </c>
      <c r="C47" s="61" t="s">
        <v>1934</v>
      </c>
      <c r="D47" s="62">
        <v>38970</v>
      </c>
      <c r="E47" s="62">
        <v>38974</v>
      </c>
      <c r="F47" s="51">
        <v>5</v>
      </c>
      <c r="G47" s="48">
        <v>125</v>
      </c>
      <c r="H47" s="49">
        <v>75000</v>
      </c>
      <c r="I47" s="49">
        <v>10</v>
      </c>
      <c r="J47" s="50">
        <v>75135</v>
      </c>
    </row>
    <row r="48" spans="1:10" ht="16.5" thickBot="1">
      <c r="A48" s="63" t="s">
        <v>1925</v>
      </c>
      <c r="B48" s="64" t="s">
        <v>1929</v>
      </c>
      <c r="C48" s="64" t="s">
        <v>1938</v>
      </c>
      <c r="D48" s="65">
        <v>38966</v>
      </c>
      <c r="E48" s="65">
        <v>38969</v>
      </c>
      <c r="F48" s="52">
        <v>4</v>
      </c>
      <c r="G48" s="53">
        <v>100</v>
      </c>
      <c r="H48" s="54">
        <v>40000</v>
      </c>
      <c r="I48" s="54">
        <v>8</v>
      </c>
      <c r="J48" s="55">
        <v>40108</v>
      </c>
    </row>
    <row r="49" ht="16.5" thickTop="1"/>
  </sheetData>
  <mergeCells count="10">
    <mergeCell ref="B42:C42"/>
    <mergeCell ref="B43:C43"/>
    <mergeCell ref="A2:J2"/>
    <mergeCell ref="A18:B18"/>
    <mergeCell ref="A19:B19"/>
    <mergeCell ref="A20:B20"/>
    <mergeCell ref="C16:C17"/>
    <mergeCell ref="D16:D17"/>
    <mergeCell ref="E16:E17"/>
    <mergeCell ref="G19:J19"/>
  </mergeCells>
  <phoneticPr fontId="2" type="noConversion"/>
  <pageMargins left="0.25" right="0.25" top="0.75" bottom="0.75" header="0.3" footer="0.3"/>
  <pageSetup paperSize="9" fitToWidth="0"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FC6B3-C53F-4946-BF84-4CA1698BB889}">
  <dimension ref="A1:AF133"/>
  <sheetViews>
    <sheetView workbookViewId="0">
      <selection activeCell="O1" sqref="O1"/>
    </sheetView>
  </sheetViews>
  <sheetFormatPr defaultRowHeight="12.75"/>
  <cols>
    <col min="1" max="1" width="5.140625" customWidth="1"/>
    <col min="2" max="2" width="17.28515625" customWidth="1"/>
    <col min="3" max="3" width="6.7109375" style="6" customWidth="1"/>
    <col min="4" max="4" width="11.42578125" style="29" customWidth="1"/>
    <col min="5" max="5" width="11.42578125" style="6" customWidth="1"/>
    <col min="6" max="6" width="5.28515625" style="6" customWidth="1"/>
    <col min="7" max="7" width="5.140625" style="6" customWidth="1"/>
    <col min="8" max="8" width="17.7109375" customWidth="1"/>
    <col min="9" max="9" width="6.7109375" customWidth="1"/>
    <col min="10" max="10" width="12.85546875" customWidth="1"/>
    <col min="11" max="11" width="16.42578125" customWidth="1"/>
    <col min="12" max="12" width="10.7109375" customWidth="1"/>
    <col min="13" max="13" width="9" customWidth="1"/>
  </cols>
  <sheetData>
    <row r="1" spans="1:32" ht="20.25">
      <c r="A1" s="1070" t="s">
        <v>1768</v>
      </c>
      <c r="B1" s="1070"/>
      <c r="C1" s="1070"/>
      <c r="D1" s="1070"/>
      <c r="E1" s="1070"/>
      <c r="F1" s="1070"/>
      <c r="G1" s="1070"/>
      <c r="H1" s="1070"/>
      <c r="I1" s="1070"/>
      <c r="J1" s="1070"/>
      <c r="K1" s="1070"/>
      <c r="L1" s="1070"/>
      <c r="M1" s="1070"/>
      <c r="N1" s="21"/>
      <c r="O1" s="915" t="s">
        <v>1991</v>
      </c>
      <c r="P1" s="145"/>
      <c r="Q1" s="21"/>
      <c r="R1" s="21"/>
      <c r="S1" s="21"/>
      <c r="T1" s="21"/>
      <c r="U1" s="21"/>
      <c r="V1" s="21"/>
      <c r="W1" s="21"/>
      <c r="X1" s="21"/>
      <c r="Y1" s="21"/>
      <c r="Z1" s="21"/>
      <c r="AA1" s="21"/>
      <c r="AB1" s="21"/>
      <c r="AC1" s="21"/>
      <c r="AD1" s="22"/>
      <c r="AE1" s="23"/>
    </row>
    <row r="2" spans="1:32" ht="56.25" customHeight="1">
      <c r="A2" s="73" t="s">
        <v>1073</v>
      </c>
      <c r="B2" s="73" t="s">
        <v>53</v>
      </c>
      <c r="C2" s="73" t="s">
        <v>54</v>
      </c>
      <c r="D2" s="74" t="s">
        <v>1918</v>
      </c>
      <c r="E2" s="73" t="s">
        <v>1919</v>
      </c>
      <c r="F2" s="73" t="s">
        <v>55</v>
      </c>
      <c r="G2" s="73" t="s">
        <v>56</v>
      </c>
      <c r="H2" s="73" t="s">
        <v>57</v>
      </c>
      <c r="I2" s="73" t="s">
        <v>58</v>
      </c>
      <c r="J2" s="73" t="s">
        <v>59</v>
      </c>
      <c r="K2" s="73" t="s">
        <v>60</v>
      </c>
      <c r="L2" s="73" t="s">
        <v>61</v>
      </c>
      <c r="M2" s="73" t="s">
        <v>62</v>
      </c>
      <c r="N2" s="24"/>
      <c r="O2" s="21"/>
      <c r="P2" s="21"/>
      <c r="Q2" s="21"/>
      <c r="R2" s="21"/>
      <c r="S2" s="21"/>
      <c r="T2" s="21"/>
      <c r="U2" s="21"/>
      <c r="V2" s="21"/>
      <c r="W2" s="21"/>
      <c r="X2" s="21"/>
      <c r="Y2" s="21"/>
      <c r="Z2" s="21"/>
      <c r="AA2" s="21"/>
      <c r="AB2" s="21"/>
      <c r="AC2" s="21"/>
      <c r="AD2" s="22"/>
      <c r="AE2" s="23"/>
      <c r="AF2" s="23"/>
    </row>
    <row r="3" spans="1:32" ht="20.25">
      <c r="A3" s="472">
        <v>1</v>
      </c>
      <c r="B3" s="473" t="s">
        <v>63</v>
      </c>
      <c r="C3" s="659">
        <v>103</v>
      </c>
      <c r="D3" s="660">
        <v>40334</v>
      </c>
      <c r="E3" s="475">
        <v>40334</v>
      </c>
      <c r="F3" s="75">
        <f>(E3-D3)+1</f>
        <v>1</v>
      </c>
      <c r="G3" s="75" t="s">
        <v>73</v>
      </c>
      <c r="H3" s="76" t="str">
        <f>VLOOKUP(G3,$J$14:$L$19,2,0)</f>
        <v>Food &amp; Beverage</v>
      </c>
      <c r="I3" s="75">
        <f>VLOOKUP(G3,$J$14:$L$19,3,0)</f>
        <v>15</v>
      </c>
      <c r="J3" s="77">
        <f>F3*I3</f>
        <v>15</v>
      </c>
      <c r="K3" s="76">
        <f>HLOOKUP(VALUE(LEFT(C3,1)),$D$15:$G$16,2,0)*F3</f>
        <v>25</v>
      </c>
      <c r="L3" s="76">
        <f>IF(AND(F3&gt;=14,G3="FB"),K3*60%,0)</f>
        <v>0</v>
      </c>
      <c r="M3" s="76">
        <f>(K3+J3)-L3</f>
        <v>40</v>
      </c>
      <c r="N3" s="20"/>
      <c r="O3" s="20"/>
      <c r="P3" s="20"/>
      <c r="Q3" s="20"/>
      <c r="R3" s="20"/>
      <c r="S3" s="20"/>
      <c r="T3" s="20"/>
      <c r="U3" s="20"/>
      <c r="V3" s="20"/>
      <c r="W3" s="20"/>
      <c r="X3" s="20"/>
      <c r="Y3" s="20"/>
      <c r="Z3" s="20"/>
      <c r="AA3" s="20"/>
      <c r="AB3" s="20"/>
      <c r="AC3" s="20"/>
      <c r="AD3" s="19"/>
    </row>
    <row r="4" spans="1:32" ht="20.25">
      <c r="A4" s="472">
        <v>2</v>
      </c>
      <c r="B4" s="473" t="s">
        <v>64</v>
      </c>
      <c r="C4" s="659">
        <v>106</v>
      </c>
      <c r="D4" s="660">
        <v>40245</v>
      </c>
      <c r="E4" s="475">
        <v>40299</v>
      </c>
      <c r="F4" s="75">
        <f t="shared" ref="F4:F12" si="0">(E4-D4)+1</f>
        <v>55</v>
      </c>
      <c r="G4" s="75" t="s">
        <v>74</v>
      </c>
      <c r="H4" s="76" t="str">
        <f t="shared" ref="H4:H12" si="1">VLOOKUP(G4,$J$14:$L$19,2,0)</f>
        <v>Business Center</v>
      </c>
      <c r="I4" s="75">
        <f t="shared" ref="I4:I12" si="2">VLOOKUP(G4,$J$14:$L$19,3,0)</f>
        <v>4</v>
      </c>
      <c r="J4" s="77">
        <f t="shared" ref="J4:J12" si="3">F4*I4</f>
        <v>220</v>
      </c>
      <c r="K4" s="76">
        <f t="shared" ref="K4:K12" si="4">HLOOKUP(VALUE(LEFT(C4,1)),$D$15:$G$16,2,0)*F4</f>
        <v>1375</v>
      </c>
      <c r="L4" s="76">
        <f t="shared" ref="L4:L12" si="5">IF(AND(F4&gt;=14,G4="FB"),K4*60%,0)</f>
        <v>0</v>
      </c>
      <c r="M4" s="76">
        <f t="shared" ref="M4:M12" si="6">(K4+J4)-L4</f>
        <v>1595</v>
      </c>
      <c r="N4" s="20"/>
      <c r="O4" s="20"/>
      <c r="P4" s="20"/>
      <c r="Q4" s="20"/>
      <c r="R4" s="20"/>
      <c r="S4" s="20"/>
      <c r="T4" s="20"/>
      <c r="U4" s="20"/>
      <c r="V4" s="20"/>
      <c r="W4" s="20"/>
      <c r="X4" s="20"/>
      <c r="Y4" s="20"/>
      <c r="Z4" s="20"/>
      <c r="AA4" s="20"/>
      <c r="AB4" s="20"/>
      <c r="AC4" s="20"/>
      <c r="AD4" s="19"/>
    </row>
    <row r="5" spans="1:32" ht="20.25">
      <c r="A5" s="472">
        <v>3</v>
      </c>
      <c r="B5" s="473" t="s">
        <v>65</v>
      </c>
      <c r="C5" s="659">
        <v>207</v>
      </c>
      <c r="D5" s="660">
        <v>40278</v>
      </c>
      <c r="E5" s="475">
        <v>40289</v>
      </c>
      <c r="F5" s="75">
        <f t="shared" si="0"/>
        <v>12</v>
      </c>
      <c r="G5" s="75" t="s">
        <v>75</v>
      </c>
      <c r="H5" s="76" t="str">
        <f t="shared" si="1"/>
        <v>Laundry</v>
      </c>
      <c r="I5" s="75">
        <f t="shared" si="2"/>
        <v>8</v>
      </c>
      <c r="J5" s="77">
        <f t="shared" si="3"/>
        <v>96</v>
      </c>
      <c r="K5" s="76">
        <f t="shared" si="4"/>
        <v>408</v>
      </c>
      <c r="L5" s="76">
        <f t="shared" si="5"/>
        <v>0</v>
      </c>
      <c r="M5" s="76">
        <f t="shared" si="6"/>
        <v>504</v>
      </c>
      <c r="N5" s="20"/>
      <c r="O5" s="20"/>
      <c r="P5" s="20"/>
      <c r="Q5" s="20"/>
      <c r="R5" s="20"/>
      <c r="S5" s="20"/>
      <c r="T5" s="20"/>
      <c r="U5" s="20"/>
      <c r="V5" s="20"/>
      <c r="W5" s="20"/>
      <c r="X5" s="20"/>
      <c r="Y5" s="20"/>
      <c r="Z5" s="20"/>
      <c r="AA5" s="20"/>
      <c r="AB5" s="20"/>
      <c r="AC5" s="20"/>
      <c r="AD5" s="19"/>
    </row>
    <row r="6" spans="1:32" ht="20.25">
      <c r="A6" s="472">
        <v>4</v>
      </c>
      <c r="B6" s="473" t="s">
        <v>66</v>
      </c>
      <c r="C6" s="659">
        <v>307</v>
      </c>
      <c r="D6" s="660">
        <v>40284</v>
      </c>
      <c r="E6" s="475">
        <v>40345</v>
      </c>
      <c r="F6" s="75">
        <f t="shared" si="0"/>
        <v>62</v>
      </c>
      <c r="G6" s="75" t="s">
        <v>75</v>
      </c>
      <c r="H6" s="76" t="str">
        <f t="shared" si="1"/>
        <v>Laundry</v>
      </c>
      <c r="I6" s="75">
        <f t="shared" si="2"/>
        <v>8</v>
      </c>
      <c r="J6" s="77">
        <f t="shared" si="3"/>
        <v>496</v>
      </c>
      <c r="K6" s="76">
        <f t="shared" si="4"/>
        <v>3100</v>
      </c>
      <c r="L6" s="76">
        <f t="shared" si="5"/>
        <v>0</v>
      </c>
      <c r="M6" s="76">
        <f t="shared" si="6"/>
        <v>3596</v>
      </c>
      <c r="N6" s="20"/>
      <c r="O6" s="20"/>
      <c r="P6" s="20"/>
      <c r="Q6" s="20"/>
      <c r="R6" s="20"/>
      <c r="S6" s="20"/>
      <c r="T6" s="20"/>
      <c r="U6" s="20"/>
      <c r="V6" s="20"/>
      <c r="W6" s="20"/>
      <c r="X6" s="20"/>
      <c r="Y6" s="20"/>
      <c r="Z6" s="20"/>
      <c r="AA6" s="20"/>
      <c r="AB6" s="20"/>
      <c r="AC6" s="20"/>
      <c r="AD6" s="19"/>
    </row>
    <row r="7" spans="1:32" ht="20.25">
      <c r="A7" s="472">
        <v>5</v>
      </c>
      <c r="B7" s="473" t="s">
        <v>67</v>
      </c>
      <c r="C7" s="659">
        <v>205</v>
      </c>
      <c r="D7" s="660">
        <v>40335</v>
      </c>
      <c r="E7" s="475">
        <v>40336</v>
      </c>
      <c r="F7" s="75">
        <f t="shared" si="0"/>
        <v>2</v>
      </c>
      <c r="G7" s="75" t="s">
        <v>73</v>
      </c>
      <c r="H7" s="76" t="str">
        <f t="shared" si="1"/>
        <v>Food &amp; Beverage</v>
      </c>
      <c r="I7" s="75">
        <f t="shared" si="2"/>
        <v>15</v>
      </c>
      <c r="J7" s="77">
        <f t="shared" si="3"/>
        <v>30</v>
      </c>
      <c r="K7" s="76">
        <f t="shared" si="4"/>
        <v>68</v>
      </c>
      <c r="L7" s="76">
        <f t="shared" si="5"/>
        <v>0</v>
      </c>
      <c r="M7" s="76">
        <f t="shared" si="6"/>
        <v>98</v>
      </c>
      <c r="N7" s="20"/>
      <c r="O7" s="20"/>
      <c r="P7" s="20"/>
      <c r="Q7" s="20"/>
      <c r="R7" s="20"/>
      <c r="S7" s="20"/>
      <c r="T7" s="20"/>
      <c r="U7" s="20"/>
      <c r="V7" s="20"/>
      <c r="W7" s="20"/>
      <c r="X7" s="20"/>
      <c r="Y7" s="20"/>
      <c r="Z7" s="20"/>
      <c r="AA7" s="20"/>
      <c r="AB7" s="20"/>
      <c r="AC7" s="20"/>
      <c r="AD7" s="19"/>
    </row>
    <row r="8" spans="1:32" ht="20.25">
      <c r="A8" s="472">
        <v>6</v>
      </c>
      <c r="B8" s="473" t="s">
        <v>68</v>
      </c>
      <c r="C8" s="659">
        <v>204</v>
      </c>
      <c r="D8" s="660">
        <v>40305</v>
      </c>
      <c r="E8" s="475">
        <v>40310</v>
      </c>
      <c r="F8" s="75">
        <f t="shared" si="0"/>
        <v>6</v>
      </c>
      <c r="G8" s="75" t="s">
        <v>74</v>
      </c>
      <c r="H8" s="76" t="str">
        <f t="shared" si="1"/>
        <v>Business Center</v>
      </c>
      <c r="I8" s="75">
        <f t="shared" si="2"/>
        <v>4</v>
      </c>
      <c r="J8" s="77">
        <f t="shared" si="3"/>
        <v>24</v>
      </c>
      <c r="K8" s="76">
        <f t="shared" si="4"/>
        <v>204</v>
      </c>
      <c r="L8" s="76">
        <f t="shared" si="5"/>
        <v>0</v>
      </c>
      <c r="M8" s="76">
        <f t="shared" si="6"/>
        <v>228</v>
      </c>
      <c r="N8" s="20"/>
      <c r="O8" s="20"/>
      <c r="P8" s="20"/>
      <c r="Q8" s="20"/>
      <c r="R8" s="20"/>
      <c r="S8" s="20"/>
      <c r="T8" s="20"/>
      <c r="U8" s="20"/>
      <c r="V8" s="20"/>
      <c r="W8" s="20"/>
      <c r="X8" s="20"/>
      <c r="Y8" s="20"/>
      <c r="Z8" s="20"/>
      <c r="AA8" s="20"/>
      <c r="AB8" s="20"/>
      <c r="AC8" s="20"/>
      <c r="AD8" s="19"/>
    </row>
    <row r="9" spans="1:32" ht="20.25">
      <c r="A9" s="472">
        <v>7</v>
      </c>
      <c r="B9" s="473" t="s">
        <v>69</v>
      </c>
      <c r="C9" s="659">
        <v>308</v>
      </c>
      <c r="D9" s="660">
        <v>40305</v>
      </c>
      <c r="E9" s="475">
        <v>40307</v>
      </c>
      <c r="F9" s="75">
        <f t="shared" si="0"/>
        <v>3</v>
      </c>
      <c r="G9" s="75" t="s">
        <v>74</v>
      </c>
      <c r="H9" s="76" t="str">
        <f t="shared" si="1"/>
        <v>Business Center</v>
      </c>
      <c r="I9" s="75">
        <f t="shared" si="2"/>
        <v>4</v>
      </c>
      <c r="J9" s="77">
        <f t="shared" si="3"/>
        <v>12</v>
      </c>
      <c r="K9" s="76">
        <f t="shared" si="4"/>
        <v>150</v>
      </c>
      <c r="L9" s="76">
        <f t="shared" si="5"/>
        <v>0</v>
      </c>
      <c r="M9" s="76">
        <f t="shared" si="6"/>
        <v>162</v>
      </c>
      <c r="N9" s="20"/>
      <c r="O9" s="20"/>
      <c r="P9" s="20"/>
      <c r="Q9" s="20"/>
      <c r="R9" s="20"/>
      <c r="S9" s="20"/>
      <c r="T9" s="20"/>
      <c r="U9" s="20"/>
      <c r="V9" s="20"/>
      <c r="W9" s="20"/>
      <c r="X9" s="20"/>
      <c r="Y9" s="20"/>
      <c r="Z9" s="20"/>
      <c r="AA9" s="20"/>
      <c r="AB9" s="20"/>
      <c r="AC9" s="20"/>
      <c r="AD9" s="19"/>
    </row>
    <row r="10" spans="1:32" ht="20.25">
      <c r="A10" s="472">
        <v>8</v>
      </c>
      <c r="B10" s="473" t="s">
        <v>70</v>
      </c>
      <c r="C10" s="659">
        <v>110</v>
      </c>
      <c r="D10" s="660">
        <v>40307</v>
      </c>
      <c r="E10" s="475">
        <v>40308</v>
      </c>
      <c r="F10" s="75">
        <f t="shared" si="0"/>
        <v>2</v>
      </c>
      <c r="G10" s="75" t="s">
        <v>73</v>
      </c>
      <c r="H10" s="76" t="str">
        <f t="shared" si="1"/>
        <v>Food &amp; Beverage</v>
      </c>
      <c r="I10" s="75">
        <f t="shared" si="2"/>
        <v>15</v>
      </c>
      <c r="J10" s="77">
        <f t="shared" si="3"/>
        <v>30</v>
      </c>
      <c r="K10" s="76">
        <f t="shared" si="4"/>
        <v>50</v>
      </c>
      <c r="L10" s="76">
        <f t="shared" si="5"/>
        <v>0</v>
      </c>
      <c r="M10" s="76">
        <f t="shared" si="6"/>
        <v>80</v>
      </c>
      <c r="N10" s="20"/>
      <c r="O10" s="20"/>
      <c r="P10" s="20"/>
      <c r="Q10" s="20"/>
      <c r="R10" s="20"/>
      <c r="S10" s="20"/>
      <c r="T10" s="20"/>
      <c r="U10" s="20"/>
      <c r="V10" s="20"/>
      <c r="W10" s="20"/>
      <c r="X10" s="20"/>
      <c r="Y10" s="20"/>
      <c r="Z10" s="20"/>
      <c r="AA10" s="20"/>
      <c r="AB10" s="20"/>
      <c r="AC10" s="20"/>
      <c r="AD10" s="19"/>
    </row>
    <row r="11" spans="1:32" ht="20.25">
      <c r="A11" s="472">
        <v>9</v>
      </c>
      <c r="B11" s="473" t="s">
        <v>71</v>
      </c>
      <c r="C11" s="659">
        <v>110</v>
      </c>
      <c r="D11" s="660">
        <v>40307</v>
      </c>
      <c r="E11" s="475">
        <v>40310</v>
      </c>
      <c r="F11" s="75">
        <f t="shared" si="0"/>
        <v>4</v>
      </c>
      <c r="G11" s="75" t="s">
        <v>76</v>
      </c>
      <c r="H11" s="76" t="str">
        <f t="shared" si="1"/>
        <v>Car Rental</v>
      </c>
      <c r="I11" s="75">
        <f t="shared" si="2"/>
        <v>25</v>
      </c>
      <c r="J11" s="77">
        <f t="shared" si="3"/>
        <v>100</v>
      </c>
      <c r="K11" s="76">
        <f t="shared" si="4"/>
        <v>100</v>
      </c>
      <c r="L11" s="76">
        <f t="shared" si="5"/>
        <v>0</v>
      </c>
      <c r="M11" s="76">
        <f t="shared" si="6"/>
        <v>200</v>
      </c>
      <c r="N11" s="20"/>
      <c r="O11" s="20"/>
      <c r="P11" s="20"/>
      <c r="Q11" s="20"/>
      <c r="R11" s="20"/>
      <c r="S11" s="20"/>
      <c r="T11" s="20"/>
      <c r="U11" s="20"/>
      <c r="V11" s="20"/>
      <c r="W11" s="20"/>
      <c r="X11" s="20"/>
      <c r="Y11" s="20"/>
      <c r="Z11" s="20"/>
      <c r="AA11" s="20"/>
      <c r="AB11" s="20"/>
      <c r="AC11" s="20"/>
      <c r="AD11" s="19"/>
    </row>
    <row r="12" spans="1:32" ht="20.25">
      <c r="A12" s="472">
        <v>10</v>
      </c>
      <c r="B12" s="473" t="s">
        <v>72</v>
      </c>
      <c r="C12" s="659">
        <v>401</v>
      </c>
      <c r="D12" s="660">
        <v>40307</v>
      </c>
      <c r="E12" s="475">
        <v>40316</v>
      </c>
      <c r="F12" s="75">
        <f t="shared" si="0"/>
        <v>10</v>
      </c>
      <c r="G12" s="75" t="s">
        <v>76</v>
      </c>
      <c r="H12" s="76" t="str">
        <f t="shared" si="1"/>
        <v>Car Rental</v>
      </c>
      <c r="I12" s="75">
        <f t="shared" si="2"/>
        <v>25</v>
      </c>
      <c r="J12" s="77">
        <f t="shared" si="3"/>
        <v>250</v>
      </c>
      <c r="K12" s="76">
        <f t="shared" si="4"/>
        <v>800</v>
      </c>
      <c r="L12" s="76">
        <f t="shared" si="5"/>
        <v>0</v>
      </c>
      <c r="M12" s="76">
        <f t="shared" si="6"/>
        <v>1050</v>
      </c>
      <c r="N12" s="20"/>
      <c r="O12" s="20"/>
      <c r="P12" s="20"/>
      <c r="Q12" s="20"/>
      <c r="R12" s="20"/>
      <c r="S12" s="20"/>
      <c r="T12" s="20"/>
      <c r="U12" s="20"/>
      <c r="V12" s="20"/>
      <c r="W12" s="20"/>
      <c r="X12" s="20"/>
      <c r="Y12" s="20"/>
      <c r="Z12" s="20"/>
      <c r="AA12" s="20"/>
      <c r="AB12" s="20"/>
      <c r="AC12" s="20"/>
      <c r="AD12" s="19"/>
    </row>
    <row r="13" spans="1:32" ht="20.25">
      <c r="A13" s="20"/>
      <c r="B13" s="20"/>
      <c r="C13" s="20"/>
      <c r="D13" s="20"/>
      <c r="E13" s="25"/>
      <c r="F13" s="25"/>
      <c r="G13" s="20"/>
      <c r="H13" s="20"/>
      <c r="I13" s="20"/>
      <c r="J13" s="20"/>
      <c r="K13" s="20"/>
      <c r="L13" s="20"/>
      <c r="M13" s="20"/>
      <c r="N13" s="20"/>
      <c r="O13" s="20"/>
      <c r="P13" s="20"/>
      <c r="Q13" s="19"/>
    </row>
    <row r="14" spans="1:32" ht="20.25">
      <c r="A14" s="20"/>
      <c r="B14" s="20"/>
      <c r="C14" s="34"/>
      <c r="D14" s="1071" t="s">
        <v>77</v>
      </c>
      <c r="E14" s="1071"/>
      <c r="F14" s="1071"/>
      <c r="G14" s="1071"/>
      <c r="H14" s="20"/>
      <c r="I14" s="20"/>
      <c r="J14" s="1070" t="s">
        <v>79</v>
      </c>
      <c r="K14" s="1070"/>
      <c r="L14" s="1070"/>
      <c r="M14" s="20"/>
      <c r="N14" s="20"/>
      <c r="O14" s="20"/>
      <c r="P14" s="20"/>
      <c r="Q14" s="20"/>
      <c r="R14" s="20"/>
      <c r="S14" s="20"/>
      <c r="T14" s="20"/>
      <c r="U14" s="20"/>
      <c r="V14" s="20"/>
      <c r="W14" s="20"/>
      <c r="X14" s="20"/>
      <c r="Y14" s="20"/>
      <c r="Z14" s="20"/>
      <c r="AA14" s="20"/>
      <c r="AB14" s="20"/>
      <c r="AC14" s="20"/>
      <c r="AD14" s="19"/>
    </row>
    <row r="15" spans="1:32" ht="20.25">
      <c r="A15" s="20"/>
      <c r="B15" s="20"/>
      <c r="C15" s="35" t="s">
        <v>78</v>
      </c>
      <c r="D15" s="36">
        <v>1</v>
      </c>
      <c r="E15" s="36">
        <v>2</v>
      </c>
      <c r="F15" s="36">
        <v>3</v>
      </c>
      <c r="G15" s="36">
        <v>4</v>
      </c>
      <c r="H15" s="20"/>
      <c r="I15" s="20"/>
      <c r="J15" s="30" t="s">
        <v>80</v>
      </c>
      <c r="K15" s="30" t="s">
        <v>57</v>
      </c>
      <c r="L15" s="30" t="s">
        <v>81</v>
      </c>
      <c r="M15" s="20"/>
      <c r="N15" s="20"/>
      <c r="O15" s="20"/>
      <c r="P15" s="20"/>
      <c r="Q15" s="20"/>
      <c r="R15" s="20"/>
      <c r="S15" s="20"/>
      <c r="T15" s="20"/>
      <c r="U15" s="20"/>
      <c r="V15" s="20"/>
      <c r="W15" s="20"/>
      <c r="X15" s="20"/>
      <c r="Y15" s="20"/>
      <c r="Z15" s="20"/>
      <c r="AA15" s="20"/>
      <c r="AB15" s="20"/>
      <c r="AC15" s="20"/>
      <c r="AD15" s="19"/>
    </row>
    <row r="16" spans="1:32" ht="20.25">
      <c r="A16" s="20"/>
      <c r="B16" s="20"/>
      <c r="C16" s="35" t="s">
        <v>1212</v>
      </c>
      <c r="D16" s="36">
        <v>25</v>
      </c>
      <c r="E16" s="36">
        <v>34</v>
      </c>
      <c r="F16" s="36">
        <v>50</v>
      </c>
      <c r="G16" s="36">
        <v>80</v>
      </c>
      <c r="H16" s="20"/>
      <c r="I16" s="20"/>
      <c r="J16" s="31" t="s">
        <v>75</v>
      </c>
      <c r="K16" s="32" t="s">
        <v>82</v>
      </c>
      <c r="L16" s="31">
        <v>8</v>
      </c>
      <c r="M16" s="20"/>
      <c r="N16" s="20"/>
      <c r="O16" s="20"/>
      <c r="P16" s="20"/>
      <c r="Q16" s="20"/>
      <c r="R16" s="20"/>
      <c r="S16" s="20"/>
      <c r="T16" s="20"/>
      <c r="U16" s="20"/>
      <c r="V16" s="20"/>
      <c r="W16" s="20"/>
      <c r="X16" s="20"/>
      <c r="Y16" s="20"/>
      <c r="Z16" s="20"/>
      <c r="AA16" s="20"/>
      <c r="AB16" s="20"/>
      <c r="AC16" s="20"/>
      <c r="AD16" s="19"/>
    </row>
    <row r="17" spans="1:30" ht="20.25">
      <c r="A17" s="20"/>
      <c r="B17" s="20"/>
      <c r="C17" s="25"/>
      <c r="D17" s="27"/>
      <c r="E17" s="25"/>
      <c r="F17" s="25"/>
      <c r="G17" s="25"/>
      <c r="H17" s="20"/>
      <c r="I17" s="20"/>
      <c r="J17" s="31" t="s">
        <v>73</v>
      </c>
      <c r="K17" s="32" t="s">
        <v>83</v>
      </c>
      <c r="L17" s="31">
        <v>15</v>
      </c>
      <c r="M17" s="20"/>
      <c r="N17" s="20"/>
      <c r="O17" s="20"/>
      <c r="P17" s="20"/>
      <c r="Q17" s="20"/>
      <c r="R17" s="20"/>
      <c r="S17" s="20"/>
      <c r="T17" s="20"/>
      <c r="U17" s="20"/>
      <c r="V17" s="20"/>
      <c r="W17" s="20"/>
      <c r="X17" s="20"/>
      <c r="Y17" s="20"/>
      <c r="Z17" s="20"/>
      <c r="AA17" s="20"/>
      <c r="AB17" s="20"/>
      <c r="AC17" s="20"/>
      <c r="AD17" s="19"/>
    </row>
    <row r="18" spans="1:30" ht="20.25">
      <c r="A18" s="20"/>
      <c r="B18" s="20"/>
      <c r="C18" s="25"/>
      <c r="D18" s="27" t="s">
        <v>92</v>
      </c>
      <c r="E18" s="25"/>
      <c r="F18" s="25"/>
      <c r="G18" s="25"/>
      <c r="H18" s="20"/>
      <c r="I18" s="20"/>
      <c r="J18" s="31" t="s">
        <v>76</v>
      </c>
      <c r="K18" s="32" t="s">
        <v>84</v>
      </c>
      <c r="L18" s="31">
        <v>25</v>
      </c>
      <c r="M18" s="20"/>
      <c r="N18" s="20"/>
      <c r="O18" s="20"/>
      <c r="P18" s="20"/>
      <c r="Q18" s="20"/>
      <c r="R18" s="20"/>
      <c r="S18" s="20"/>
      <c r="T18" s="20"/>
      <c r="U18" s="20"/>
      <c r="V18" s="20"/>
      <c r="W18" s="20"/>
      <c r="X18" s="20"/>
      <c r="Y18" s="20"/>
      <c r="Z18" s="20"/>
      <c r="AA18" s="20"/>
      <c r="AB18" s="20"/>
      <c r="AC18" s="20"/>
      <c r="AD18" s="19"/>
    </row>
    <row r="19" spans="1:30" ht="20.25">
      <c r="A19" s="20"/>
      <c r="B19" s="20"/>
      <c r="C19" s="25"/>
      <c r="D19" s="33" t="b">
        <f>AND(MONTH(D3)=6,MONTH(E3)=6)</f>
        <v>1</v>
      </c>
      <c r="E19" s="25"/>
      <c r="F19" s="25"/>
      <c r="G19" s="25"/>
      <c r="H19" s="20"/>
      <c r="I19" s="20"/>
      <c r="J19" s="31" t="s">
        <v>74</v>
      </c>
      <c r="K19" s="32" t="s">
        <v>85</v>
      </c>
      <c r="L19" s="31">
        <v>4</v>
      </c>
      <c r="M19" s="20"/>
      <c r="N19" s="20"/>
      <c r="O19" s="20"/>
      <c r="P19" s="20"/>
      <c r="Q19" s="20"/>
      <c r="R19" s="20"/>
      <c r="S19" s="20"/>
      <c r="T19" s="20"/>
      <c r="U19" s="20"/>
      <c r="V19" s="20"/>
      <c r="W19" s="20"/>
      <c r="X19" s="20"/>
      <c r="Y19" s="20"/>
      <c r="Z19" s="20"/>
      <c r="AA19" s="20"/>
      <c r="AB19" s="20"/>
      <c r="AC19" s="20"/>
      <c r="AD19" s="19"/>
    </row>
    <row r="20" spans="1:30" ht="20.25">
      <c r="A20" s="20"/>
      <c r="B20" s="20"/>
      <c r="C20" s="25"/>
      <c r="D20" s="27"/>
      <c r="E20" s="25"/>
      <c r="F20" s="25"/>
      <c r="G20" s="25"/>
      <c r="H20" s="20"/>
      <c r="I20" s="20"/>
      <c r="J20" s="20"/>
      <c r="K20" s="20"/>
      <c r="L20" s="20"/>
      <c r="M20" s="20"/>
      <c r="N20" s="20"/>
      <c r="O20" s="20"/>
      <c r="P20" s="20"/>
      <c r="Q20" s="20"/>
      <c r="R20" s="20"/>
      <c r="S20" s="20"/>
      <c r="T20" s="20"/>
      <c r="U20" s="20"/>
      <c r="V20" s="20"/>
      <c r="W20" s="20"/>
      <c r="X20" s="20"/>
      <c r="Y20" s="20"/>
      <c r="Z20" s="20"/>
      <c r="AA20" s="20"/>
      <c r="AB20" s="20"/>
      <c r="AC20" s="20"/>
      <c r="AD20" s="19"/>
    </row>
    <row r="21" spans="1:30" ht="20.25">
      <c r="A21" s="20"/>
      <c r="B21" s="20"/>
      <c r="C21" s="25"/>
      <c r="D21" s="27"/>
      <c r="E21" s="25"/>
      <c r="F21" s="25"/>
      <c r="G21" s="25"/>
      <c r="H21" s="20"/>
      <c r="I21" s="20"/>
      <c r="J21" s="1070" t="s">
        <v>86</v>
      </c>
      <c r="K21" s="1070"/>
      <c r="L21" s="20"/>
      <c r="M21" s="20"/>
      <c r="N21" s="20"/>
      <c r="O21" s="20"/>
      <c r="P21" s="20"/>
      <c r="Q21" s="20"/>
      <c r="R21" s="20"/>
      <c r="S21" s="20"/>
      <c r="T21" s="20"/>
      <c r="U21" s="20"/>
      <c r="V21" s="20"/>
      <c r="W21" s="20"/>
      <c r="X21" s="20"/>
      <c r="Y21" s="20"/>
      <c r="Z21" s="20"/>
      <c r="AA21" s="20"/>
      <c r="AB21" s="20"/>
      <c r="AC21" s="20"/>
      <c r="AD21" s="19"/>
    </row>
    <row r="22" spans="1:30" ht="20.25">
      <c r="A22" s="20"/>
      <c r="B22" s="20"/>
      <c r="C22" s="25"/>
      <c r="D22" s="27"/>
      <c r="E22" s="25"/>
      <c r="F22" s="25"/>
      <c r="G22" s="25"/>
      <c r="H22" s="20"/>
      <c r="I22" s="20"/>
      <c r="J22" s="31" t="s">
        <v>78</v>
      </c>
      <c r="K22" s="37" t="s">
        <v>87</v>
      </c>
      <c r="L22" s="20"/>
      <c r="M22" s="20"/>
      <c r="N22" s="20"/>
      <c r="O22" s="20"/>
      <c r="P22" s="20"/>
      <c r="Q22" s="20"/>
      <c r="R22" s="20"/>
      <c r="S22" s="20"/>
      <c r="T22" s="20"/>
      <c r="U22" s="20"/>
      <c r="V22" s="20"/>
      <c r="W22" s="20"/>
      <c r="X22" s="20"/>
      <c r="Y22" s="20"/>
      <c r="Z22" s="20"/>
      <c r="AA22" s="20"/>
      <c r="AB22" s="20"/>
      <c r="AC22" s="20"/>
      <c r="AD22" s="19"/>
    </row>
    <row r="23" spans="1:30" ht="20.25">
      <c r="A23" s="20"/>
      <c r="B23" s="20"/>
      <c r="C23" s="25"/>
      <c r="D23" s="27"/>
      <c r="E23" s="25"/>
      <c r="F23" s="25"/>
      <c r="G23" s="25"/>
      <c r="H23" s="20"/>
      <c r="I23" s="20"/>
      <c r="J23" s="31">
        <v>4</v>
      </c>
      <c r="K23" s="37">
        <f>DSUM($A$2:$M$12,M2,H24:H25)</f>
        <v>1050</v>
      </c>
      <c r="L23" s="20"/>
      <c r="M23" s="20"/>
      <c r="N23" s="20"/>
      <c r="O23" s="20"/>
      <c r="P23" s="20"/>
      <c r="Q23" s="20"/>
      <c r="R23" s="20"/>
      <c r="S23" s="20"/>
      <c r="T23" s="20"/>
      <c r="U23" s="20"/>
      <c r="V23" s="20"/>
      <c r="W23" s="20"/>
      <c r="X23" s="20"/>
      <c r="Y23" s="20"/>
      <c r="Z23" s="20"/>
      <c r="AA23" s="20"/>
      <c r="AB23" s="20"/>
      <c r="AC23" s="20"/>
      <c r="AD23" s="19"/>
    </row>
    <row r="24" spans="1:30" ht="20.25">
      <c r="A24" s="20"/>
      <c r="B24" s="20"/>
      <c r="C24" s="25"/>
      <c r="D24" s="27"/>
      <c r="E24" s="25" t="s">
        <v>90</v>
      </c>
      <c r="F24" s="25"/>
      <c r="H24" s="25" t="s">
        <v>91</v>
      </c>
      <c r="I24" s="20"/>
      <c r="J24" s="31">
        <v>3</v>
      </c>
      <c r="K24" s="37">
        <f>DSUM(A2:M12,M2,E24:E25)</f>
        <v>3758</v>
      </c>
      <c r="L24" s="20"/>
      <c r="M24" s="20"/>
      <c r="N24" s="20"/>
      <c r="O24" s="20"/>
      <c r="P24" s="20"/>
      <c r="Q24" s="20"/>
      <c r="R24" s="20"/>
      <c r="S24" s="20"/>
      <c r="T24" s="20"/>
      <c r="U24" s="20"/>
      <c r="V24" s="20"/>
      <c r="W24" s="20"/>
      <c r="X24" s="20"/>
      <c r="Y24" s="20"/>
      <c r="Z24" s="20"/>
      <c r="AA24" s="20"/>
      <c r="AB24" s="20"/>
      <c r="AC24" s="20"/>
      <c r="AD24" s="19"/>
    </row>
    <row r="25" spans="1:30" ht="20.25">
      <c r="A25" s="20"/>
      <c r="B25" s="20"/>
      <c r="C25" s="25"/>
      <c r="D25" s="27"/>
      <c r="E25" s="25" t="b">
        <f>LEFT(C3,1)="3"</f>
        <v>0</v>
      </c>
      <c r="F25" s="25"/>
      <c r="H25" s="25" t="b">
        <f>LEFT(C3,1)="4"</f>
        <v>0</v>
      </c>
      <c r="I25" s="20"/>
      <c r="J25" s="31">
        <v>110</v>
      </c>
      <c r="K25" s="37">
        <f>SUMIF(C3:C12,110,M3:M12)</f>
        <v>280</v>
      </c>
      <c r="L25" s="20"/>
      <c r="M25" s="20"/>
      <c r="N25" s="20"/>
      <c r="O25" s="20"/>
      <c r="P25" s="20"/>
      <c r="Q25" s="20"/>
      <c r="R25" s="20"/>
      <c r="S25" s="20"/>
      <c r="T25" s="20"/>
      <c r="U25" s="20"/>
      <c r="V25" s="20"/>
      <c r="W25" s="20"/>
      <c r="X25" s="20"/>
      <c r="Y25" s="20"/>
      <c r="Z25" s="20"/>
      <c r="AA25" s="20"/>
      <c r="AB25" s="20"/>
      <c r="AC25" s="20"/>
      <c r="AD25" s="19"/>
    </row>
    <row r="26" spans="1:30" ht="20.25">
      <c r="A26" s="20"/>
      <c r="B26" s="20"/>
      <c r="C26" s="25"/>
      <c r="D26" s="27"/>
      <c r="E26" s="25"/>
      <c r="F26" s="25"/>
      <c r="G26" s="25"/>
      <c r="H26" s="20"/>
      <c r="I26" s="20"/>
      <c r="J26" s="1068" t="s">
        <v>88</v>
      </c>
      <c r="K26" s="1069"/>
      <c r="L26" s="20"/>
      <c r="M26" s="20"/>
      <c r="N26" s="20"/>
      <c r="O26" s="20"/>
      <c r="P26" s="20"/>
      <c r="Q26" s="20"/>
      <c r="R26" s="20"/>
      <c r="S26" s="20"/>
      <c r="T26" s="20"/>
      <c r="U26" s="20"/>
      <c r="V26" s="20"/>
      <c r="W26" s="20"/>
      <c r="X26" s="20"/>
      <c r="Y26" s="20"/>
      <c r="Z26" s="20"/>
      <c r="AA26" s="20"/>
      <c r="AB26" s="20"/>
      <c r="AC26" s="20"/>
      <c r="AD26" s="19"/>
    </row>
    <row r="27" spans="1:30" ht="20.25">
      <c r="A27" s="20"/>
      <c r="B27" s="20"/>
      <c r="C27" s="25"/>
      <c r="D27" s="27"/>
      <c r="E27" s="25"/>
      <c r="F27" s="25"/>
      <c r="G27" s="25"/>
      <c r="H27" s="20"/>
      <c r="I27" s="20"/>
      <c r="J27" s="31" t="s">
        <v>89</v>
      </c>
      <c r="K27" s="32">
        <f>DSUM($A$2:$M$12,M2,D18:D19)</f>
        <v>138</v>
      </c>
      <c r="L27" s="20"/>
      <c r="M27" s="20"/>
      <c r="N27" s="20"/>
      <c r="O27" s="20"/>
      <c r="P27" s="20"/>
      <c r="Q27" s="20"/>
      <c r="R27" s="20"/>
      <c r="S27" s="20"/>
      <c r="T27" s="20"/>
      <c r="U27" s="20"/>
      <c r="V27" s="20"/>
      <c r="W27" s="20"/>
      <c r="X27" s="20"/>
      <c r="Y27" s="20"/>
      <c r="Z27" s="20"/>
      <c r="AA27" s="20"/>
      <c r="AB27" s="20"/>
      <c r="AC27" s="20"/>
      <c r="AD27" s="19"/>
    </row>
    <row r="28" spans="1:30" ht="20.25">
      <c r="A28" s="20"/>
      <c r="B28" s="20"/>
      <c r="C28" s="25"/>
      <c r="D28" s="27"/>
      <c r="E28" s="25"/>
      <c r="F28" s="25"/>
      <c r="G28" s="25"/>
      <c r="H28" s="20"/>
      <c r="I28" s="20"/>
      <c r="J28" s="20"/>
      <c r="K28" s="20"/>
      <c r="L28" s="20"/>
      <c r="M28" s="20"/>
      <c r="N28" s="20"/>
      <c r="O28" s="20"/>
      <c r="P28" s="20"/>
      <c r="Q28" s="20"/>
      <c r="R28" s="20"/>
      <c r="S28" s="20"/>
      <c r="T28" s="20"/>
      <c r="U28" s="20"/>
      <c r="V28" s="20"/>
      <c r="W28" s="20"/>
      <c r="X28" s="20"/>
      <c r="Y28" s="20"/>
      <c r="Z28" s="20"/>
      <c r="AA28" s="20"/>
      <c r="AB28" s="20"/>
      <c r="AC28" s="20"/>
      <c r="AD28" s="19"/>
    </row>
    <row r="29" spans="1:30" ht="20.25">
      <c r="A29" s="20"/>
      <c r="B29" s="20"/>
      <c r="C29" s="25"/>
      <c r="D29" s="27"/>
      <c r="E29" s="25"/>
      <c r="F29" s="25"/>
      <c r="G29" s="25"/>
      <c r="H29" s="20"/>
      <c r="I29" s="20"/>
      <c r="J29" s="20"/>
      <c r="K29" s="20"/>
      <c r="L29" s="20"/>
      <c r="M29" s="20"/>
      <c r="N29" s="20"/>
      <c r="O29" s="20"/>
      <c r="P29" s="20"/>
      <c r="Q29" s="20"/>
      <c r="R29" s="20"/>
      <c r="S29" s="20"/>
      <c r="T29" s="20"/>
      <c r="U29" s="20"/>
      <c r="V29" s="20"/>
      <c r="W29" s="20"/>
      <c r="X29" s="20"/>
      <c r="Y29" s="20"/>
      <c r="Z29" s="20"/>
      <c r="AA29" s="20"/>
      <c r="AB29" s="20"/>
      <c r="AC29" s="20"/>
      <c r="AD29" s="19"/>
    </row>
    <row r="30" spans="1:30" ht="20.25">
      <c r="A30" s="20"/>
      <c r="B30" s="20"/>
      <c r="C30" s="25"/>
      <c r="D30" s="27"/>
      <c r="E30" s="25"/>
      <c r="F30" s="25"/>
      <c r="G30" s="25"/>
      <c r="H30" s="20"/>
      <c r="I30" s="20"/>
      <c r="J30" s="20"/>
      <c r="K30" s="20"/>
      <c r="L30" s="20"/>
      <c r="M30" s="20"/>
      <c r="N30" s="20"/>
      <c r="O30" s="20"/>
      <c r="P30" s="20"/>
      <c r="Q30" s="20"/>
      <c r="R30" s="20"/>
      <c r="S30" s="20"/>
      <c r="T30" s="20"/>
      <c r="U30" s="20"/>
      <c r="V30" s="20"/>
      <c r="W30" s="20"/>
      <c r="X30" s="20"/>
      <c r="Y30" s="20"/>
      <c r="Z30" s="20"/>
      <c r="AA30" s="20"/>
      <c r="AB30" s="20"/>
      <c r="AC30" s="20"/>
      <c r="AD30" s="19"/>
    </row>
    <row r="31" spans="1:30" ht="20.25">
      <c r="A31" s="20"/>
      <c r="B31" s="20"/>
      <c r="C31" s="25"/>
      <c r="D31" s="27"/>
      <c r="E31" s="25"/>
      <c r="F31" s="25"/>
      <c r="G31" s="25"/>
      <c r="H31" s="20"/>
      <c r="I31" s="20"/>
      <c r="J31" s="20"/>
      <c r="K31" s="20"/>
      <c r="L31" s="20"/>
      <c r="M31" s="20"/>
      <c r="N31" s="20"/>
      <c r="O31" s="20"/>
      <c r="P31" s="20"/>
      <c r="Q31" s="20"/>
      <c r="R31" s="20"/>
      <c r="S31" s="20"/>
      <c r="T31" s="20"/>
      <c r="U31" s="20"/>
      <c r="V31" s="20"/>
      <c r="W31" s="20"/>
      <c r="X31" s="20"/>
      <c r="Y31" s="20"/>
      <c r="Z31" s="20"/>
      <c r="AA31" s="20"/>
      <c r="AB31" s="20"/>
      <c r="AC31" s="20"/>
      <c r="AD31" s="19"/>
    </row>
    <row r="32" spans="1:30" ht="20.25">
      <c r="A32" s="20"/>
      <c r="B32" s="20"/>
      <c r="C32" s="25"/>
      <c r="D32" s="27"/>
      <c r="E32" s="25"/>
      <c r="F32" s="25"/>
      <c r="G32" s="25"/>
      <c r="H32" s="20"/>
      <c r="I32" s="20"/>
      <c r="J32" s="20"/>
      <c r="K32" s="20"/>
      <c r="L32" s="20"/>
      <c r="M32" s="20"/>
      <c r="N32" s="20"/>
      <c r="O32" s="20"/>
      <c r="P32" s="20"/>
      <c r="Q32" s="20"/>
      <c r="R32" s="20"/>
      <c r="S32" s="20"/>
      <c r="T32" s="20"/>
      <c r="U32" s="20"/>
      <c r="V32" s="20"/>
      <c r="W32" s="20"/>
      <c r="X32" s="20"/>
      <c r="Y32" s="20"/>
      <c r="Z32" s="20"/>
      <c r="AA32" s="20"/>
      <c r="AB32" s="20"/>
      <c r="AC32" s="20"/>
      <c r="AD32" s="19"/>
    </row>
    <row r="33" spans="1:30" ht="20.25">
      <c r="A33" s="20"/>
      <c r="B33" s="20"/>
      <c r="C33" s="25"/>
      <c r="D33" s="27"/>
      <c r="E33" s="25"/>
      <c r="F33" s="25"/>
      <c r="G33" s="25"/>
      <c r="H33" s="20"/>
      <c r="I33" s="20"/>
      <c r="J33" s="20"/>
      <c r="K33" s="20"/>
      <c r="L33" s="20"/>
      <c r="M33" s="20"/>
      <c r="N33" s="20"/>
      <c r="O33" s="20"/>
      <c r="P33" s="20"/>
      <c r="Q33" s="20"/>
      <c r="R33" s="20"/>
      <c r="S33" s="20"/>
      <c r="T33" s="20"/>
      <c r="U33" s="20"/>
      <c r="V33" s="20"/>
      <c r="W33" s="20"/>
      <c r="X33" s="20"/>
      <c r="Y33" s="20"/>
      <c r="Z33" s="20"/>
      <c r="AA33" s="20"/>
      <c r="AB33" s="20"/>
      <c r="AC33" s="20"/>
      <c r="AD33" s="19"/>
    </row>
    <row r="34" spans="1:30" ht="20.25">
      <c r="A34" s="20"/>
      <c r="B34" s="20"/>
      <c r="C34" s="25"/>
      <c r="D34" s="27"/>
      <c r="E34" s="25"/>
      <c r="F34" s="25"/>
      <c r="G34" s="25"/>
      <c r="H34" s="20"/>
      <c r="I34" s="20"/>
      <c r="J34" s="20"/>
      <c r="K34" s="20"/>
      <c r="L34" s="20"/>
      <c r="M34" s="20"/>
      <c r="N34" s="20"/>
      <c r="O34" s="20"/>
      <c r="P34" s="20"/>
      <c r="Q34" s="20"/>
      <c r="R34" s="20"/>
      <c r="S34" s="20"/>
      <c r="T34" s="20"/>
      <c r="U34" s="20"/>
      <c r="V34" s="20"/>
      <c r="W34" s="20"/>
      <c r="X34" s="20"/>
      <c r="Y34" s="20"/>
      <c r="Z34" s="20"/>
      <c r="AA34" s="20"/>
      <c r="AB34" s="20"/>
      <c r="AC34" s="20"/>
      <c r="AD34" s="19"/>
    </row>
    <row r="35" spans="1:30" ht="20.25">
      <c r="A35" s="20"/>
      <c r="B35" s="20"/>
      <c r="C35" s="25"/>
      <c r="D35" s="27"/>
      <c r="E35" s="25"/>
      <c r="F35" s="25"/>
      <c r="G35" s="25"/>
      <c r="H35" s="20"/>
      <c r="I35" s="20"/>
      <c r="J35" s="20"/>
      <c r="K35" s="20"/>
      <c r="L35" s="20"/>
      <c r="M35" s="20"/>
      <c r="N35" s="20"/>
      <c r="O35" s="20"/>
      <c r="P35" s="20"/>
      <c r="Q35" s="20"/>
      <c r="R35" s="20"/>
      <c r="S35" s="20"/>
      <c r="T35" s="20"/>
      <c r="U35" s="20"/>
      <c r="V35" s="20"/>
      <c r="W35" s="20"/>
      <c r="X35" s="20"/>
      <c r="Y35" s="20"/>
      <c r="Z35" s="20"/>
      <c r="AA35" s="20"/>
      <c r="AB35" s="20"/>
      <c r="AC35" s="20"/>
      <c r="AD35" s="19"/>
    </row>
    <row r="36" spans="1:30" ht="20.25">
      <c r="A36" s="20"/>
      <c r="B36" s="20"/>
      <c r="C36" s="25"/>
      <c r="D36" s="27"/>
      <c r="E36" s="25"/>
      <c r="F36" s="25"/>
      <c r="G36" s="25"/>
      <c r="H36" s="20"/>
      <c r="I36" s="20"/>
      <c r="J36" s="20"/>
      <c r="K36" s="20"/>
      <c r="L36" s="20"/>
      <c r="M36" s="20"/>
      <c r="N36" s="20"/>
      <c r="O36" s="20"/>
      <c r="P36" s="20"/>
      <c r="Q36" s="20"/>
      <c r="R36" s="20"/>
      <c r="S36" s="20"/>
      <c r="T36" s="20"/>
      <c r="U36" s="20"/>
      <c r="V36" s="20"/>
      <c r="W36" s="20"/>
      <c r="X36" s="20"/>
      <c r="Y36" s="20"/>
      <c r="Z36" s="20"/>
      <c r="AA36" s="20"/>
      <c r="AB36" s="20"/>
      <c r="AC36" s="20"/>
      <c r="AD36" s="19"/>
    </row>
    <row r="37" spans="1:30" ht="20.25">
      <c r="A37" s="20"/>
      <c r="B37" s="20"/>
      <c r="C37" s="25"/>
      <c r="D37" s="27"/>
      <c r="E37" s="25"/>
      <c r="F37" s="25"/>
      <c r="G37" s="25"/>
      <c r="H37" s="20"/>
      <c r="I37" s="20"/>
      <c r="J37" s="20"/>
      <c r="K37" s="20"/>
      <c r="L37" s="20"/>
      <c r="M37" s="20"/>
      <c r="N37" s="20"/>
      <c r="O37" s="20"/>
      <c r="P37" s="20"/>
      <c r="Q37" s="20"/>
      <c r="R37" s="20"/>
      <c r="S37" s="20"/>
      <c r="T37" s="20"/>
      <c r="U37" s="20"/>
      <c r="V37" s="20"/>
      <c r="W37" s="20"/>
      <c r="X37" s="20"/>
      <c r="Y37" s="20"/>
      <c r="Z37" s="20"/>
      <c r="AA37" s="20"/>
      <c r="AB37" s="20"/>
      <c r="AC37" s="20"/>
      <c r="AD37" s="19"/>
    </row>
    <row r="38" spans="1:30" ht="20.25">
      <c r="A38" s="20"/>
      <c r="B38" s="20"/>
      <c r="C38" s="25"/>
      <c r="D38" s="27"/>
      <c r="E38" s="25"/>
      <c r="F38" s="25"/>
      <c r="G38" s="25"/>
      <c r="H38" s="20"/>
      <c r="I38" s="20"/>
      <c r="J38" s="20"/>
      <c r="K38" s="20"/>
      <c r="L38" s="20"/>
      <c r="M38" s="20"/>
      <c r="N38" s="20"/>
      <c r="O38" s="20"/>
      <c r="P38" s="20"/>
      <c r="Q38" s="20"/>
      <c r="R38" s="20"/>
      <c r="S38" s="20"/>
      <c r="T38" s="20"/>
      <c r="U38" s="20"/>
      <c r="V38" s="20"/>
      <c r="W38" s="20"/>
      <c r="X38" s="20"/>
      <c r="Y38" s="20"/>
      <c r="Z38" s="20"/>
      <c r="AA38" s="20"/>
      <c r="AB38" s="20"/>
      <c r="AC38" s="20"/>
      <c r="AD38" s="19"/>
    </row>
    <row r="39" spans="1:30" ht="20.25">
      <c r="A39" s="20"/>
      <c r="B39" s="20"/>
      <c r="C39" s="25"/>
      <c r="D39" s="27"/>
      <c r="E39" s="25"/>
      <c r="F39" s="25"/>
      <c r="G39" s="25"/>
      <c r="H39" s="20"/>
      <c r="I39" s="20"/>
      <c r="J39" s="20"/>
      <c r="K39" s="20"/>
      <c r="L39" s="20"/>
      <c r="M39" s="20"/>
      <c r="N39" s="20"/>
      <c r="O39" s="20"/>
      <c r="P39" s="20"/>
      <c r="Q39" s="20"/>
      <c r="R39" s="20"/>
      <c r="S39" s="20"/>
      <c r="T39" s="20"/>
      <c r="U39" s="20"/>
      <c r="V39" s="20"/>
      <c r="W39" s="20"/>
      <c r="X39" s="20"/>
      <c r="Y39" s="20"/>
      <c r="Z39" s="20"/>
      <c r="AA39" s="20"/>
      <c r="AB39" s="20"/>
      <c r="AC39" s="20"/>
      <c r="AD39" s="19"/>
    </row>
    <row r="40" spans="1:30" ht="20.25">
      <c r="A40" s="20"/>
      <c r="B40" s="20"/>
      <c r="C40" s="25"/>
      <c r="D40" s="27"/>
      <c r="E40" s="25"/>
      <c r="F40" s="25"/>
      <c r="G40" s="25"/>
      <c r="H40" s="20"/>
      <c r="I40" s="20"/>
      <c r="J40" s="20"/>
      <c r="K40" s="20"/>
      <c r="L40" s="20"/>
      <c r="M40" s="20"/>
      <c r="N40" s="20"/>
      <c r="O40" s="20"/>
      <c r="P40" s="20"/>
      <c r="Q40" s="20"/>
      <c r="R40" s="20"/>
      <c r="S40" s="20"/>
      <c r="T40" s="20"/>
      <c r="U40" s="20"/>
      <c r="V40" s="20"/>
      <c r="W40" s="20"/>
      <c r="X40" s="20"/>
      <c r="Y40" s="20"/>
      <c r="Z40" s="20"/>
      <c r="AA40" s="20"/>
      <c r="AB40" s="20"/>
      <c r="AC40" s="20"/>
      <c r="AD40" s="19"/>
    </row>
    <row r="41" spans="1:30" ht="20.25">
      <c r="A41" s="20"/>
      <c r="B41" s="20"/>
      <c r="C41" s="25"/>
      <c r="D41" s="27"/>
      <c r="E41" s="25"/>
      <c r="F41" s="25"/>
      <c r="G41" s="25"/>
      <c r="H41" s="20"/>
      <c r="I41" s="20"/>
      <c r="J41" s="20"/>
      <c r="K41" s="20"/>
      <c r="L41" s="20"/>
      <c r="M41" s="20"/>
      <c r="N41" s="20"/>
      <c r="O41" s="20"/>
      <c r="P41" s="20"/>
      <c r="Q41" s="20"/>
      <c r="R41" s="20"/>
      <c r="S41" s="20"/>
      <c r="T41" s="20"/>
      <c r="U41" s="20"/>
      <c r="V41" s="20"/>
      <c r="W41" s="20"/>
      <c r="X41" s="20"/>
      <c r="Y41" s="20"/>
      <c r="Z41" s="20"/>
      <c r="AA41" s="20"/>
      <c r="AB41" s="20"/>
      <c r="AC41" s="20"/>
      <c r="AD41" s="19"/>
    </row>
    <row r="42" spans="1:30" ht="20.25">
      <c r="A42" s="20"/>
      <c r="B42" s="20"/>
      <c r="C42" s="25"/>
      <c r="D42" s="27"/>
      <c r="E42" s="25"/>
      <c r="F42" s="25"/>
      <c r="G42" s="25"/>
      <c r="H42" s="20"/>
      <c r="I42" s="20"/>
      <c r="J42" s="20"/>
      <c r="K42" s="20"/>
      <c r="L42" s="20"/>
      <c r="M42" s="20"/>
      <c r="N42" s="20"/>
      <c r="O42" s="20"/>
      <c r="P42" s="20"/>
      <c r="Q42" s="20"/>
      <c r="R42" s="20"/>
      <c r="S42" s="20"/>
      <c r="T42" s="20"/>
      <c r="U42" s="20"/>
      <c r="V42" s="20"/>
      <c r="W42" s="20"/>
      <c r="X42" s="20"/>
      <c r="Y42" s="20"/>
      <c r="Z42" s="20"/>
      <c r="AA42" s="20"/>
      <c r="AB42" s="20"/>
      <c r="AC42" s="20"/>
      <c r="AD42" s="19"/>
    </row>
    <row r="43" spans="1:30" ht="20.25">
      <c r="A43" s="20"/>
      <c r="B43" s="20"/>
      <c r="C43" s="25"/>
      <c r="D43" s="27"/>
      <c r="E43" s="25"/>
      <c r="F43" s="25"/>
      <c r="G43" s="25"/>
      <c r="H43" s="20"/>
      <c r="I43" s="20"/>
      <c r="J43" s="20"/>
      <c r="K43" s="20"/>
      <c r="L43" s="20"/>
      <c r="M43" s="20"/>
      <c r="N43" s="20"/>
      <c r="O43" s="20"/>
      <c r="P43" s="20"/>
      <c r="Q43" s="20"/>
      <c r="R43" s="20"/>
      <c r="S43" s="20"/>
      <c r="T43" s="20"/>
      <c r="U43" s="20"/>
      <c r="V43" s="20"/>
      <c r="W43" s="20"/>
      <c r="X43" s="20"/>
      <c r="Y43" s="20"/>
      <c r="Z43" s="20"/>
      <c r="AA43" s="20"/>
      <c r="AB43" s="20"/>
      <c r="AC43" s="20"/>
      <c r="AD43" s="19"/>
    </row>
    <row r="44" spans="1:30" ht="20.25">
      <c r="A44" s="20"/>
      <c r="B44" s="20"/>
      <c r="C44" s="25"/>
      <c r="D44" s="27"/>
      <c r="E44" s="25"/>
      <c r="F44" s="25"/>
      <c r="G44" s="25"/>
      <c r="H44" s="20"/>
      <c r="I44" s="20"/>
      <c r="J44" s="20"/>
      <c r="K44" s="20"/>
      <c r="L44" s="20"/>
      <c r="M44" s="20"/>
      <c r="N44" s="20"/>
      <c r="O44" s="20"/>
      <c r="P44" s="20"/>
      <c r="Q44" s="20"/>
      <c r="R44" s="20"/>
      <c r="S44" s="20"/>
      <c r="T44" s="20"/>
      <c r="U44" s="20"/>
      <c r="V44" s="20"/>
      <c r="W44" s="20"/>
      <c r="X44" s="20"/>
      <c r="Y44" s="20"/>
      <c r="Z44" s="20"/>
      <c r="AA44" s="20"/>
      <c r="AB44" s="20"/>
      <c r="AC44" s="20"/>
      <c r="AD44" s="19"/>
    </row>
    <row r="45" spans="1:30" ht="20.25">
      <c r="A45" s="20"/>
      <c r="B45" s="20"/>
      <c r="C45" s="25"/>
      <c r="D45" s="27"/>
      <c r="E45" s="25"/>
      <c r="F45" s="25"/>
      <c r="G45" s="25"/>
      <c r="H45" s="20"/>
      <c r="I45" s="20"/>
      <c r="J45" s="20"/>
      <c r="K45" s="20"/>
      <c r="L45" s="20"/>
      <c r="M45" s="20"/>
      <c r="N45" s="20"/>
      <c r="O45" s="20"/>
      <c r="P45" s="20"/>
      <c r="Q45" s="20"/>
      <c r="R45" s="20"/>
      <c r="S45" s="20"/>
      <c r="T45" s="20"/>
      <c r="U45" s="20"/>
      <c r="V45" s="20"/>
      <c r="W45" s="20"/>
      <c r="X45" s="20"/>
      <c r="Y45" s="20"/>
      <c r="Z45" s="20"/>
      <c r="AA45" s="20"/>
      <c r="AB45" s="20"/>
      <c r="AC45" s="20"/>
      <c r="AD45" s="19"/>
    </row>
    <row r="46" spans="1:30" ht="20.25">
      <c r="A46" s="20"/>
      <c r="B46" s="20"/>
      <c r="C46" s="25"/>
      <c r="D46" s="27"/>
      <c r="E46" s="25"/>
      <c r="F46" s="25"/>
      <c r="G46" s="25"/>
      <c r="H46" s="20"/>
      <c r="I46" s="20"/>
      <c r="J46" s="20"/>
      <c r="K46" s="20"/>
      <c r="L46" s="20"/>
      <c r="M46" s="20"/>
      <c r="N46" s="20"/>
      <c r="O46" s="20"/>
      <c r="P46" s="20"/>
      <c r="Q46" s="20"/>
      <c r="R46" s="20"/>
      <c r="S46" s="20"/>
      <c r="T46" s="20"/>
      <c r="U46" s="20"/>
      <c r="V46" s="20"/>
      <c r="W46" s="20"/>
      <c r="X46" s="20"/>
      <c r="Y46" s="20"/>
      <c r="Z46" s="20"/>
      <c r="AA46" s="20"/>
      <c r="AB46" s="20"/>
      <c r="AC46" s="20"/>
      <c r="AD46" s="19"/>
    </row>
    <row r="47" spans="1:30" ht="20.25">
      <c r="A47" s="20"/>
      <c r="B47" s="20"/>
      <c r="C47" s="25"/>
      <c r="D47" s="27"/>
      <c r="E47" s="25"/>
      <c r="F47" s="25"/>
      <c r="G47" s="25"/>
      <c r="H47" s="20"/>
      <c r="I47" s="20"/>
      <c r="J47" s="20"/>
      <c r="K47" s="20"/>
      <c r="L47" s="20"/>
      <c r="M47" s="20"/>
      <c r="N47" s="20"/>
      <c r="O47" s="20"/>
      <c r="P47" s="20"/>
      <c r="Q47" s="20"/>
      <c r="R47" s="20"/>
      <c r="S47" s="20"/>
      <c r="T47" s="20"/>
      <c r="U47" s="20"/>
      <c r="V47" s="20"/>
      <c r="W47" s="20"/>
      <c r="X47" s="20"/>
      <c r="Y47" s="20"/>
      <c r="Z47" s="20"/>
      <c r="AA47" s="20"/>
      <c r="AB47" s="20"/>
      <c r="AC47" s="20"/>
      <c r="AD47" s="19"/>
    </row>
    <row r="48" spans="1:30" ht="20.25">
      <c r="A48" s="20"/>
      <c r="B48" s="20"/>
      <c r="C48" s="25"/>
      <c r="D48" s="27"/>
      <c r="E48" s="25"/>
      <c r="F48" s="25"/>
      <c r="G48" s="25"/>
      <c r="H48" s="20"/>
      <c r="I48" s="20"/>
      <c r="J48" s="20"/>
      <c r="K48" s="20"/>
      <c r="L48" s="20"/>
      <c r="M48" s="20"/>
      <c r="N48" s="20"/>
      <c r="O48" s="20"/>
      <c r="P48" s="20"/>
      <c r="Q48" s="20"/>
      <c r="R48" s="20"/>
      <c r="S48" s="20"/>
      <c r="T48" s="20"/>
      <c r="U48" s="20"/>
      <c r="V48" s="20"/>
      <c r="W48" s="20"/>
      <c r="X48" s="20"/>
      <c r="Y48" s="20"/>
      <c r="Z48" s="20"/>
      <c r="AA48" s="20"/>
      <c r="AB48" s="20"/>
      <c r="AC48" s="20"/>
      <c r="AD48" s="19"/>
    </row>
    <row r="49" spans="1:30" ht="20.25">
      <c r="A49" s="20"/>
      <c r="B49" s="20"/>
      <c r="C49" s="25"/>
      <c r="D49" s="27"/>
      <c r="E49" s="25"/>
      <c r="F49" s="25"/>
      <c r="G49" s="25"/>
      <c r="H49" s="20"/>
      <c r="I49" s="20"/>
      <c r="J49" s="20"/>
      <c r="K49" s="20"/>
      <c r="L49" s="20"/>
      <c r="M49" s="20"/>
      <c r="N49" s="20"/>
      <c r="O49" s="20"/>
      <c r="P49" s="20"/>
      <c r="Q49" s="20"/>
      <c r="R49" s="20"/>
      <c r="S49" s="20"/>
      <c r="T49" s="20"/>
      <c r="U49" s="20"/>
      <c r="V49" s="20"/>
      <c r="W49" s="20"/>
      <c r="X49" s="20"/>
      <c r="Y49" s="20"/>
      <c r="Z49" s="20"/>
      <c r="AA49" s="20"/>
      <c r="AB49" s="20"/>
      <c r="AC49" s="20"/>
      <c r="AD49" s="19"/>
    </row>
    <row r="50" spans="1:30" ht="20.25">
      <c r="A50" s="20"/>
      <c r="B50" s="20"/>
      <c r="C50" s="25"/>
      <c r="D50" s="27"/>
      <c r="E50" s="25"/>
      <c r="F50" s="25"/>
      <c r="G50" s="25"/>
      <c r="H50" s="20"/>
      <c r="I50" s="20"/>
      <c r="J50" s="20"/>
      <c r="K50" s="20"/>
      <c r="L50" s="20"/>
      <c r="M50" s="20"/>
      <c r="N50" s="20"/>
      <c r="O50" s="20"/>
      <c r="P50" s="20"/>
      <c r="Q50" s="20"/>
      <c r="R50" s="20"/>
      <c r="S50" s="20"/>
      <c r="T50" s="20"/>
      <c r="U50" s="20"/>
      <c r="V50" s="20"/>
      <c r="W50" s="20"/>
      <c r="X50" s="20"/>
      <c r="Y50" s="20"/>
      <c r="Z50" s="20"/>
      <c r="AA50" s="20"/>
      <c r="AB50" s="20"/>
      <c r="AC50" s="20"/>
      <c r="AD50" s="19"/>
    </row>
    <row r="51" spans="1:30" ht="20.25">
      <c r="A51" s="20"/>
      <c r="B51" s="20"/>
      <c r="C51" s="25"/>
      <c r="D51" s="27"/>
      <c r="E51" s="25"/>
      <c r="F51" s="25"/>
      <c r="G51" s="25"/>
      <c r="H51" s="20"/>
      <c r="I51" s="20"/>
      <c r="J51" s="20"/>
      <c r="K51" s="20"/>
      <c r="L51" s="20"/>
      <c r="M51" s="20"/>
      <c r="N51" s="20"/>
      <c r="O51" s="20"/>
      <c r="P51" s="20"/>
      <c r="Q51" s="20"/>
      <c r="R51" s="20"/>
      <c r="S51" s="20"/>
      <c r="T51" s="20"/>
      <c r="U51" s="20"/>
      <c r="V51" s="20"/>
      <c r="W51" s="20"/>
      <c r="X51" s="20"/>
      <c r="Y51" s="20"/>
      <c r="Z51" s="20"/>
      <c r="AA51" s="20"/>
      <c r="AB51" s="20"/>
      <c r="AC51" s="20"/>
      <c r="AD51" s="19"/>
    </row>
    <row r="52" spans="1:30" ht="20.25">
      <c r="A52" s="20"/>
      <c r="B52" s="20"/>
      <c r="C52" s="25"/>
      <c r="D52" s="27"/>
      <c r="E52" s="25"/>
      <c r="F52" s="25"/>
      <c r="G52" s="25"/>
      <c r="H52" s="20"/>
      <c r="I52" s="20"/>
      <c r="J52" s="20"/>
      <c r="K52" s="20"/>
      <c r="L52" s="20"/>
      <c r="M52" s="20"/>
      <c r="N52" s="20"/>
      <c r="O52" s="20"/>
      <c r="P52" s="20"/>
      <c r="Q52" s="20"/>
      <c r="R52" s="20"/>
      <c r="S52" s="20"/>
      <c r="T52" s="20"/>
      <c r="U52" s="20"/>
      <c r="V52" s="20"/>
      <c r="W52" s="20"/>
      <c r="X52" s="20"/>
      <c r="Y52" s="20"/>
      <c r="Z52" s="20"/>
      <c r="AA52" s="20"/>
      <c r="AB52" s="20"/>
      <c r="AC52" s="20"/>
      <c r="AD52" s="19"/>
    </row>
    <row r="53" spans="1:30" ht="20.25">
      <c r="A53" s="20"/>
      <c r="B53" s="20"/>
      <c r="C53" s="25"/>
      <c r="D53" s="27"/>
      <c r="E53" s="25"/>
      <c r="F53" s="25"/>
      <c r="G53" s="25"/>
      <c r="H53" s="20"/>
      <c r="I53" s="20"/>
      <c r="J53" s="20"/>
      <c r="K53" s="20"/>
      <c r="L53" s="20"/>
      <c r="M53" s="20"/>
      <c r="N53" s="20"/>
      <c r="O53" s="20"/>
      <c r="P53" s="20"/>
      <c r="Q53" s="20"/>
      <c r="R53" s="20"/>
      <c r="S53" s="20"/>
      <c r="T53" s="20"/>
      <c r="U53" s="20"/>
      <c r="V53" s="20"/>
      <c r="W53" s="20"/>
      <c r="X53" s="20"/>
      <c r="Y53" s="20"/>
      <c r="Z53" s="20"/>
      <c r="AA53" s="20"/>
      <c r="AB53" s="20"/>
      <c r="AC53" s="20"/>
      <c r="AD53" s="19"/>
    </row>
    <row r="54" spans="1:30" ht="20.25">
      <c r="A54" s="20"/>
      <c r="B54" s="20"/>
      <c r="C54" s="25"/>
      <c r="D54" s="27"/>
      <c r="E54" s="25"/>
      <c r="F54" s="25"/>
      <c r="G54" s="25"/>
      <c r="H54" s="20"/>
      <c r="I54" s="20"/>
      <c r="J54" s="20"/>
      <c r="K54" s="20"/>
      <c r="L54" s="20"/>
      <c r="M54" s="20"/>
      <c r="N54" s="20"/>
      <c r="O54" s="20"/>
      <c r="P54" s="20"/>
      <c r="Q54" s="20"/>
      <c r="R54" s="20"/>
      <c r="S54" s="20"/>
      <c r="T54" s="20"/>
      <c r="U54" s="20"/>
      <c r="V54" s="20"/>
      <c r="W54" s="20"/>
      <c r="X54" s="20"/>
      <c r="Y54" s="20"/>
      <c r="Z54" s="20"/>
      <c r="AA54" s="20"/>
      <c r="AB54" s="20"/>
      <c r="AC54" s="20"/>
      <c r="AD54" s="19"/>
    </row>
    <row r="55" spans="1:30" ht="20.25">
      <c r="A55" s="20"/>
      <c r="B55" s="20"/>
      <c r="C55" s="25"/>
      <c r="D55" s="27"/>
      <c r="E55" s="25"/>
      <c r="F55" s="25"/>
      <c r="G55" s="25"/>
      <c r="H55" s="20"/>
      <c r="I55" s="20"/>
      <c r="J55" s="20"/>
      <c r="K55" s="20"/>
      <c r="L55" s="20"/>
      <c r="M55" s="20"/>
      <c r="N55" s="20"/>
      <c r="O55" s="20"/>
      <c r="P55" s="20"/>
      <c r="Q55" s="20"/>
      <c r="R55" s="20"/>
      <c r="S55" s="20"/>
      <c r="T55" s="20"/>
      <c r="U55" s="20"/>
      <c r="V55" s="20"/>
      <c r="W55" s="20"/>
      <c r="X55" s="20"/>
      <c r="Y55" s="20"/>
      <c r="Z55" s="20"/>
      <c r="AA55" s="20"/>
      <c r="AB55" s="20"/>
      <c r="AC55" s="20"/>
      <c r="AD55" s="19"/>
    </row>
    <row r="56" spans="1:30" ht="20.25">
      <c r="A56" s="20"/>
      <c r="B56" s="20"/>
      <c r="C56" s="25"/>
      <c r="D56" s="27"/>
      <c r="E56" s="25"/>
      <c r="F56" s="25"/>
      <c r="G56" s="25"/>
      <c r="H56" s="20"/>
      <c r="I56" s="20"/>
      <c r="J56" s="20"/>
      <c r="K56" s="20"/>
      <c r="L56" s="20"/>
      <c r="M56" s="20"/>
      <c r="N56" s="20"/>
      <c r="O56" s="20"/>
      <c r="P56" s="20"/>
      <c r="Q56" s="20"/>
      <c r="R56" s="20"/>
      <c r="S56" s="20"/>
      <c r="T56" s="20"/>
      <c r="U56" s="20"/>
      <c r="V56" s="20"/>
      <c r="W56" s="20"/>
      <c r="X56" s="20"/>
      <c r="Y56" s="20"/>
      <c r="Z56" s="20"/>
      <c r="AA56" s="20"/>
      <c r="AB56" s="20"/>
      <c r="AC56" s="20"/>
      <c r="AD56" s="19"/>
    </row>
    <row r="57" spans="1:30" ht="20.25">
      <c r="A57" s="20"/>
      <c r="B57" s="20"/>
      <c r="C57" s="25"/>
      <c r="D57" s="27"/>
      <c r="E57" s="25"/>
      <c r="F57" s="25"/>
      <c r="G57" s="25"/>
      <c r="H57" s="20"/>
      <c r="I57" s="20"/>
      <c r="J57" s="20"/>
      <c r="K57" s="20"/>
      <c r="L57" s="20"/>
      <c r="M57" s="20"/>
      <c r="N57" s="20"/>
      <c r="O57" s="20"/>
      <c r="P57" s="20"/>
      <c r="Q57" s="20"/>
      <c r="R57" s="20"/>
      <c r="S57" s="20"/>
      <c r="T57" s="20"/>
      <c r="U57" s="20"/>
      <c r="V57" s="20"/>
      <c r="W57" s="20"/>
      <c r="X57" s="20"/>
      <c r="Y57" s="20"/>
      <c r="Z57" s="20"/>
      <c r="AA57" s="20"/>
      <c r="AB57" s="20"/>
      <c r="AC57" s="20"/>
      <c r="AD57" s="19"/>
    </row>
    <row r="58" spans="1:30" ht="20.25">
      <c r="A58" s="20"/>
      <c r="B58" s="20"/>
      <c r="C58" s="25"/>
      <c r="D58" s="27"/>
      <c r="E58" s="25"/>
      <c r="F58" s="25"/>
      <c r="G58" s="25"/>
      <c r="H58" s="20"/>
      <c r="I58" s="20"/>
      <c r="J58" s="20"/>
      <c r="K58" s="20"/>
      <c r="L58" s="20"/>
      <c r="M58" s="20"/>
      <c r="N58" s="20"/>
      <c r="O58" s="20"/>
      <c r="P58" s="20"/>
      <c r="Q58" s="20"/>
      <c r="R58" s="20"/>
      <c r="S58" s="20"/>
      <c r="T58" s="20"/>
      <c r="U58" s="20"/>
      <c r="V58" s="20"/>
      <c r="W58" s="20"/>
      <c r="X58" s="20"/>
      <c r="Y58" s="20"/>
      <c r="Z58" s="20"/>
      <c r="AA58" s="20"/>
      <c r="AB58" s="20"/>
      <c r="AC58" s="20"/>
      <c r="AD58" s="19"/>
    </row>
    <row r="59" spans="1:30" ht="20.25">
      <c r="A59" s="20"/>
      <c r="B59" s="20"/>
      <c r="C59" s="25"/>
      <c r="D59" s="27"/>
      <c r="E59" s="25"/>
      <c r="F59" s="25"/>
      <c r="G59" s="25"/>
      <c r="H59" s="20"/>
      <c r="I59" s="20"/>
      <c r="J59" s="20"/>
      <c r="K59" s="20"/>
      <c r="L59" s="20"/>
      <c r="M59" s="20"/>
      <c r="N59" s="20"/>
      <c r="O59" s="20"/>
      <c r="P59" s="20"/>
      <c r="Q59" s="20"/>
      <c r="R59" s="20"/>
      <c r="S59" s="20"/>
      <c r="T59" s="20"/>
      <c r="U59" s="20"/>
      <c r="V59" s="20"/>
      <c r="W59" s="20"/>
      <c r="X59" s="20"/>
      <c r="Y59" s="20"/>
      <c r="Z59" s="20"/>
      <c r="AA59" s="20"/>
      <c r="AB59" s="20"/>
      <c r="AC59" s="20"/>
      <c r="AD59" s="19"/>
    </row>
    <row r="60" spans="1:30" ht="20.25">
      <c r="A60" s="20"/>
      <c r="B60" s="20"/>
      <c r="C60" s="25"/>
      <c r="D60" s="27"/>
      <c r="E60" s="25"/>
      <c r="F60" s="25"/>
      <c r="G60" s="25"/>
      <c r="H60" s="20"/>
      <c r="I60" s="20"/>
      <c r="J60" s="20"/>
      <c r="K60" s="20"/>
      <c r="L60" s="20"/>
      <c r="M60" s="20"/>
      <c r="N60" s="20"/>
      <c r="O60" s="20"/>
      <c r="P60" s="20"/>
      <c r="Q60" s="20"/>
      <c r="R60" s="20"/>
      <c r="S60" s="20"/>
      <c r="T60" s="20"/>
      <c r="U60" s="20"/>
      <c r="V60" s="20"/>
      <c r="W60" s="20"/>
      <c r="X60" s="20"/>
      <c r="Y60" s="20"/>
      <c r="Z60" s="20"/>
      <c r="AA60" s="20"/>
      <c r="AB60" s="20"/>
      <c r="AC60" s="20"/>
      <c r="AD60" s="19"/>
    </row>
    <row r="61" spans="1:30" ht="20.25">
      <c r="A61" s="20"/>
      <c r="B61" s="20"/>
      <c r="C61" s="25"/>
      <c r="D61" s="27"/>
      <c r="E61" s="25"/>
      <c r="F61" s="25"/>
      <c r="G61" s="25"/>
      <c r="H61" s="20"/>
      <c r="I61" s="20"/>
      <c r="J61" s="20"/>
      <c r="K61" s="20"/>
      <c r="L61" s="20"/>
      <c r="M61" s="20"/>
      <c r="N61" s="20"/>
      <c r="O61" s="20"/>
      <c r="P61" s="20"/>
      <c r="Q61" s="20"/>
      <c r="R61" s="20"/>
      <c r="S61" s="20"/>
      <c r="T61" s="20"/>
      <c r="U61" s="20"/>
      <c r="V61" s="20"/>
      <c r="W61" s="20"/>
      <c r="X61" s="20"/>
      <c r="Y61" s="20"/>
      <c r="Z61" s="20"/>
      <c r="AA61" s="20"/>
      <c r="AB61" s="20"/>
      <c r="AC61" s="20"/>
      <c r="AD61" s="19"/>
    </row>
    <row r="62" spans="1:30" ht="20.25">
      <c r="A62" s="20"/>
      <c r="B62" s="20"/>
      <c r="C62" s="25"/>
      <c r="D62" s="27"/>
      <c r="E62" s="25"/>
      <c r="F62" s="25"/>
      <c r="G62" s="25"/>
      <c r="H62" s="20"/>
      <c r="I62" s="20"/>
      <c r="J62" s="20"/>
      <c r="K62" s="20"/>
      <c r="L62" s="20"/>
      <c r="M62" s="20"/>
      <c r="N62" s="20"/>
      <c r="O62" s="20"/>
      <c r="P62" s="20"/>
      <c r="Q62" s="20"/>
      <c r="R62" s="20"/>
      <c r="S62" s="20"/>
      <c r="T62" s="20"/>
      <c r="U62" s="20"/>
      <c r="V62" s="20"/>
      <c r="W62" s="20"/>
      <c r="X62" s="20"/>
      <c r="Y62" s="20"/>
      <c r="Z62" s="20"/>
      <c r="AA62" s="20"/>
      <c r="AB62" s="20"/>
      <c r="AC62" s="20"/>
      <c r="AD62" s="19"/>
    </row>
    <row r="63" spans="1:30" ht="20.25">
      <c r="A63" s="20"/>
      <c r="B63" s="20"/>
      <c r="C63" s="25"/>
      <c r="D63" s="27"/>
      <c r="E63" s="25"/>
      <c r="F63" s="25"/>
      <c r="G63" s="25"/>
      <c r="H63" s="20"/>
      <c r="I63" s="20"/>
      <c r="J63" s="20"/>
      <c r="K63" s="20"/>
      <c r="L63" s="20"/>
      <c r="M63" s="20"/>
      <c r="N63" s="20"/>
      <c r="O63" s="20"/>
      <c r="P63" s="20"/>
      <c r="Q63" s="20"/>
      <c r="R63" s="20"/>
      <c r="S63" s="20"/>
      <c r="T63" s="20"/>
      <c r="U63" s="20"/>
      <c r="V63" s="20"/>
      <c r="W63" s="20"/>
      <c r="X63" s="20"/>
      <c r="Y63" s="20"/>
      <c r="Z63" s="20"/>
      <c r="AA63" s="20"/>
      <c r="AB63" s="20"/>
      <c r="AC63" s="20"/>
      <c r="AD63" s="19"/>
    </row>
    <row r="64" spans="1:30" ht="20.25">
      <c r="A64" s="20"/>
      <c r="B64" s="20"/>
      <c r="C64" s="25"/>
      <c r="D64" s="27"/>
      <c r="E64" s="25"/>
      <c r="F64" s="25"/>
      <c r="G64" s="25"/>
      <c r="H64" s="20"/>
      <c r="I64" s="20"/>
      <c r="J64" s="20"/>
      <c r="K64" s="20"/>
      <c r="L64" s="20"/>
      <c r="M64" s="20"/>
      <c r="N64" s="20"/>
      <c r="O64" s="20"/>
      <c r="P64" s="20"/>
      <c r="Q64" s="20"/>
      <c r="R64" s="20"/>
      <c r="S64" s="20"/>
      <c r="T64" s="20"/>
      <c r="U64" s="20"/>
      <c r="V64" s="20"/>
      <c r="W64" s="20"/>
      <c r="X64" s="20"/>
      <c r="Y64" s="20"/>
      <c r="Z64" s="20"/>
      <c r="AA64" s="20"/>
      <c r="AB64" s="20"/>
      <c r="AC64" s="20"/>
      <c r="AD64" s="19"/>
    </row>
    <row r="65" spans="1:30" ht="20.25">
      <c r="A65" s="20"/>
      <c r="B65" s="20"/>
      <c r="C65" s="25"/>
      <c r="D65" s="27"/>
      <c r="E65" s="25"/>
      <c r="F65" s="25"/>
      <c r="G65" s="25"/>
      <c r="H65" s="20"/>
      <c r="I65" s="20"/>
      <c r="J65" s="20"/>
      <c r="K65" s="20"/>
      <c r="L65" s="20"/>
      <c r="M65" s="20"/>
      <c r="N65" s="20"/>
      <c r="O65" s="20"/>
      <c r="P65" s="20"/>
      <c r="Q65" s="20"/>
      <c r="R65" s="20"/>
      <c r="S65" s="20"/>
      <c r="T65" s="20"/>
      <c r="U65" s="20"/>
      <c r="V65" s="20"/>
      <c r="W65" s="20"/>
      <c r="X65" s="20"/>
      <c r="Y65" s="20"/>
      <c r="Z65" s="20"/>
      <c r="AA65" s="20"/>
      <c r="AB65" s="20"/>
      <c r="AC65" s="20"/>
      <c r="AD65" s="19"/>
    </row>
    <row r="66" spans="1:30" ht="20.25">
      <c r="A66" s="20"/>
      <c r="B66" s="20"/>
      <c r="C66" s="25"/>
      <c r="D66" s="27"/>
      <c r="E66" s="25"/>
      <c r="F66" s="25"/>
      <c r="G66" s="25"/>
      <c r="H66" s="20"/>
      <c r="I66" s="20"/>
      <c r="J66" s="20"/>
      <c r="K66" s="20"/>
      <c r="L66" s="20"/>
      <c r="M66" s="20"/>
      <c r="N66" s="20"/>
      <c r="O66" s="20"/>
      <c r="P66" s="20"/>
      <c r="Q66" s="20"/>
      <c r="R66" s="20"/>
      <c r="S66" s="20"/>
      <c r="T66" s="20"/>
      <c r="U66" s="20"/>
      <c r="V66" s="20"/>
      <c r="W66" s="20"/>
      <c r="X66" s="20"/>
      <c r="Y66" s="20"/>
      <c r="Z66" s="20"/>
      <c r="AA66" s="20"/>
      <c r="AB66" s="20"/>
      <c r="AC66" s="20"/>
      <c r="AD66" s="19"/>
    </row>
    <row r="67" spans="1:30" ht="20.25">
      <c r="A67" s="20"/>
      <c r="B67" s="20"/>
      <c r="C67" s="25"/>
      <c r="D67" s="27"/>
      <c r="E67" s="25"/>
      <c r="F67" s="25"/>
      <c r="G67" s="25"/>
      <c r="H67" s="20"/>
      <c r="I67" s="20"/>
      <c r="J67" s="20"/>
      <c r="K67" s="20"/>
      <c r="L67" s="20"/>
      <c r="M67" s="20"/>
      <c r="N67" s="20"/>
      <c r="O67" s="20"/>
      <c r="P67" s="20"/>
      <c r="Q67" s="20"/>
      <c r="R67" s="20"/>
      <c r="S67" s="20"/>
      <c r="T67" s="20"/>
      <c r="U67" s="20"/>
      <c r="V67" s="20"/>
      <c r="W67" s="20"/>
      <c r="X67" s="20"/>
      <c r="Y67" s="20"/>
      <c r="Z67" s="20"/>
      <c r="AA67" s="20"/>
      <c r="AB67" s="20"/>
      <c r="AC67" s="20"/>
      <c r="AD67" s="19"/>
    </row>
    <row r="68" spans="1:30" ht="20.25">
      <c r="A68" s="20"/>
      <c r="B68" s="20"/>
      <c r="C68" s="25"/>
      <c r="D68" s="27"/>
      <c r="E68" s="25"/>
      <c r="F68" s="25"/>
      <c r="G68" s="25"/>
      <c r="H68" s="20"/>
      <c r="I68" s="20"/>
      <c r="J68" s="20"/>
      <c r="K68" s="20"/>
      <c r="L68" s="20"/>
      <c r="M68" s="20"/>
      <c r="N68" s="20"/>
      <c r="O68" s="20"/>
      <c r="P68" s="20"/>
      <c r="Q68" s="20"/>
      <c r="R68" s="20"/>
      <c r="S68" s="20"/>
      <c r="T68" s="20"/>
      <c r="U68" s="20"/>
      <c r="V68" s="20"/>
      <c r="W68" s="20"/>
      <c r="X68" s="20"/>
      <c r="Y68" s="20"/>
      <c r="Z68" s="20"/>
      <c r="AA68" s="20"/>
      <c r="AB68" s="20"/>
      <c r="AC68" s="20"/>
      <c r="AD68" s="19"/>
    </row>
    <row r="69" spans="1:30" ht="20.25">
      <c r="A69" s="20"/>
      <c r="B69" s="20"/>
      <c r="C69" s="25"/>
      <c r="D69" s="27"/>
      <c r="E69" s="25"/>
      <c r="F69" s="25"/>
      <c r="G69" s="25"/>
      <c r="H69" s="20"/>
      <c r="I69" s="20"/>
      <c r="J69" s="20"/>
      <c r="K69" s="20"/>
      <c r="L69" s="20"/>
      <c r="M69" s="20"/>
      <c r="N69" s="20"/>
      <c r="O69" s="20"/>
      <c r="P69" s="20"/>
      <c r="Q69" s="20"/>
      <c r="R69" s="20"/>
      <c r="S69" s="20"/>
      <c r="T69" s="20"/>
      <c r="U69" s="20"/>
      <c r="V69" s="20"/>
      <c r="W69" s="20"/>
      <c r="X69" s="20"/>
      <c r="Y69" s="20"/>
      <c r="Z69" s="20"/>
      <c r="AA69" s="20"/>
      <c r="AB69" s="20"/>
      <c r="AC69" s="20"/>
      <c r="AD69" s="19"/>
    </row>
    <row r="70" spans="1:30" ht="20.25">
      <c r="A70" s="20"/>
      <c r="B70" s="20"/>
      <c r="C70" s="25"/>
      <c r="D70" s="27"/>
      <c r="E70" s="25"/>
      <c r="F70" s="25"/>
      <c r="G70" s="25"/>
      <c r="H70" s="20"/>
      <c r="I70" s="20"/>
      <c r="J70" s="20"/>
      <c r="K70" s="20"/>
      <c r="L70" s="20"/>
      <c r="M70" s="20"/>
      <c r="N70" s="20"/>
      <c r="O70" s="20"/>
      <c r="P70" s="20"/>
      <c r="Q70" s="20"/>
      <c r="R70" s="20"/>
      <c r="S70" s="20"/>
      <c r="T70" s="20"/>
      <c r="U70" s="20"/>
      <c r="V70" s="20"/>
      <c r="W70" s="20"/>
      <c r="X70" s="20"/>
      <c r="Y70" s="20"/>
      <c r="Z70" s="20"/>
      <c r="AA70" s="20"/>
      <c r="AB70" s="20"/>
      <c r="AC70" s="20"/>
      <c r="AD70" s="19"/>
    </row>
    <row r="71" spans="1:30" ht="20.25">
      <c r="A71" s="20"/>
      <c r="B71" s="20"/>
      <c r="C71" s="25"/>
      <c r="D71" s="27"/>
      <c r="E71" s="25"/>
      <c r="F71" s="25"/>
      <c r="G71" s="25"/>
      <c r="H71" s="20"/>
      <c r="I71" s="20"/>
      <c r="J71" s="20"/>
      <c r="K71" s="20"/>
      <c r="L71" s="20"/>
      <c r="M71" s="20"/>
      <c r="N71" s="20"/>
      <c r="O71" s="20"/>
      <c r="P71" s="20"/>
      <c r="Q71" s="20"/>
      <c r="R71" s="20"/>
      <c r="S71" s="20"/>
      <c r="T71" s="20"/>
      <c r="U71" s="20"/>
      <c r="V71" s="20"/>
      <c r="W71" s="20"/>
      <c r="X71" s="20"/>
      <c r="Y71" s="20"/>
      <c r="Z71" s="20"/>
      <c r="AA71" s="20"/>
      <c r="AB71" s="20"/>
      <c r="AC71" s="20"/>
      <c r="AD71" s="19"/>
    </row>
    <row r="72" spans="1:30" ht="20.25">
      <c r="A72" s="20"/>
      <c r="B72" s="20"/>
      <c r="C72" s="25"/>
      <c r="D72" s="27"/>
      <c r="E72" s="25"/>
      <c r="F72" s="25"/>
      <c r="G72" s="25"/>
      <c r="H72" s="20"/>
      <c r="I72" s="20"/>
      <c r="J72" s="20"/>
      <c r="K72" s="20"/>
      <c r="L72" s="20"/>
      <c r="M72" s="20"/>
      <c r="N72" s="20"/>
      <c r="O72" s="20"/>
      <c r="P72" s="20"/>
      <c r="Q72" s="20"/>
      <c r="R72" s="20"/>
      <c r="S72" s="20"/>
      <c r="T72" s="20"/>
      <c r="U72" s="20"/>
      <c r="V72" s="20"/>
      <c r="W72" s="20"/>
      <c r="X72" s="20"/>
      <c r="Y72" s="20"/>
      <c r="Z72" s="20"/>
      <c r="AA72" s="20"/>
      <c r="AB72" s="20"/>
      <c r="AC72" s="20"/>
      <c r="AD72" s="19"/>
    </row>
    <row r="73" spans="1:30" ht="20.25">
      <c r="A73" s="20"/>
      <c r="B73" s="20"/>
      <c r="C73" s="25"/>
      <c r="D73" s="27"/>
      <c r="E73" s="25"/>
      <c r="F73" s="25"/>
      <c r="G73" s="25"/>
      <c r="H73" s="20"/>
      <c r="I73" s="20"/>
      <c r="J73" s="20"/>
      <c r="K73" s="20"/>
      <c r="L73" s="20"/>
      <c r="M73" s="20"/>
      <c r="N73" s="20"/>
      <c r="O73" s="20"/>
      <c r="P73" s="20"/>
      <c r="Q73" s="20"/>
      <c r="R73" s="20"/>
      <c r="S73" s="20"/>
      <c r="T73" s="20"/>
      <c r="U73" s="20"/>
      <c r="V73" s="20"/>
      <c r="W73" s="20"/>
      <c r="X73" s="20"/>
      <c r="Y73" s="20"/>
      <c r="Z73" s="20"/>
      <c r="AA73" s="20"/>
      <c r="AB73" s="20"/>
      <c r="AC73" s="20"/>
      <c r="AD73" s="19"/>
    </row>
    <row r="74" spans="1:30" ht="20.25">
      <c r="A74" s="20"/>
      <c r="B74" s="20"/>
      <c r="C74" s="25"/>
      <c r="D74" s="27"/>
      <c r="E74" s="25"/>
      <c r="F74" s="25"/>
      <c r="G74" s="25"/>
      <c r="H74" s="20"/>
      <c r="I74" s="20"/>
      <c r="J74" s="20"/>
      <c r="K74" s="20"/>
      <c r="L74" s="20"/>
      <c r="M74" s="20"/>
      <c r="N74" s="20"/>
      <c r="O74" s="20"/>
      <c r="P74" s="20"/>
      <c r="Q74" s="20"/>
      <c r="R74" s="20"/>
      <c r="S74" s="20"/>
      <c r="T74" s="20"/>
      <c r="U74" s="20"/>
      <c r="V74" s="20"/>
      <c r="W74" s="20"/>
      <c r="X74" s="20"/>
      <c r="Y74" s="20"/>
      <c r="Z74" s="20"/>
      <c r="AA74" s="20"/>
      <c r="AB74" s="20"/>
      <c r="AC74" s="20"/>
      <c r="AD74" s="19"/>
    </row>
    <row r="75" spans="1:30" ht="20.25">
      <c r="A75" s="20"/>
      <c r="B75" s="20"/>
      <c r="C75" s="25"/>
      <c r="D75" s="27"/>
      <c r="E75" s="25"/>
      <c r="F75" s="25"/>
      <c r="G75" s="25"/>
      <c r="H75" s="20"/>
      <c r="I75" s="20"/>
      <c r="J75" s="20"/>
      <c r="K75" s="20"/>
      <c r="L75" s="20"/>
      <c r="M75" s="20"/>
      <c r="N75" s="20"/>
      <c r="O75" s="20"/>
      <c r="P75" s="20"/>
      <c r="Q75" s="20"/>
      <c r="R75" s="20"/>
      <c r="S75" s="20"/>
      <c r="T75" s="20"/>
      <c r="U75" s="20"/>
      <c r="V75" s="20"/>
      <c r="W75" s="20"/>
      <c r="X75" s="20"/>
      <c r="Y75" s="20"/>
      <c r="Z75" s="20"/>
      <c r="AA75" s="20"/>
      <c r="AB75" s="20"/>
      <c r="AC75" s="20"/>
      <c r="AD75" s="19"/>
    </row>
    <row r="76" spans="1:30" ht="20.25">
      <c r="A76" s="20"/>
      <c r="B76" s="20"/>
      <c r="C76" s="25"/>
      <c r="D76" s="27"/>
      <c r="E76" s="25"/>
      <c r="F76" s="25"/>
      <c r="G76" s="25"/>
      <c r="H76" s="20"/>
      <c r="I76" s="20"/>
      <c r="J76" s="20"/>
      <c r="K76" s="20"/>
      <c r="L76" s="20"/>
      <c r="M76" s="20"/>
      <c r="N76" s="20"/>
      <c r="O76" s="20"/>
      <c r="P76" s="20"/>
      <c r="Q76" s="20"/>
      <c r="R76" s="20"/>
      <c r="S76" s="20"/>
      <c r="T76" s="20"/>
      <c r="U76" s="20"/>
      <c r="V76" s="20"/>
      <c r="W76" s="20"/>
      <c r="X76" s="20"/>
      <c r="Y76" s="20"/>
      <c r="Z76" s="20"/>
      <c r="AA76" s="20"/>
      <c r="AB76" s="20"/>
      <c r="AC76" s="20"/>
      <c r="AD76" s="19"/>
    </row>
    <row r="77" spans="1:30" ht="20.25">
      <c r="A77" s="20"/>
      <c r="B77" s="20"/>
      <c r="C77" s="25"/>
      <c r="D77" s="27"/>
      <c r="E77" s="25"/>
      <c r="F77" s="25"/>
      <c r="G77" s="25"/>
      <c r="H77" s="20"/>
      <c r="I77" s="20"/>
      <c r="J77" s="20"/>
      <c r="K77" s="20"/>
      <c r="L77" s="20"/>
      <c r="M77" s="20"/>
      <c r="N77" s="20"/>
      <c r="O77" s="20"/>
      <c r="P77" s="20"/>
      <c r="Q77" s="20"/>
      <c r="R77" s="20"/>
      <c r="S77" s="20"/>
      <c r="T77" s="20"/>
      <c r="U77" s="20"/>
      <c r="V77" s="20"/>
      <c r="W77" s="20"/>
      <c r="X77" s="20"/>
      <c r="Y77" s="20"/>
      <c r="Z77" s="20"/>
      <c r="AA77" s="20"/>
      <c r="AB77" s="20"/>
      <c r="AC77" s="20"/>
      <c r="AD77" s="19"/>
    </row>
    <row r="78" spans="1:30" ht="20.25">
      <c r="A78" s="20"/>
      <c r="B78" s="20"/>
      <c r="C78" s="25"/>
      <c r="D78" s="27"/>
      <c r="E78" s="25"/>
      <c r="F78" s="25"/>
      <c r="G78" s="25"/>
      <c r="H78" s="20"/>
      <c r="I78" s="20"/>
      <c r="J78" s="20"/>
      <c r="K78" s="20"/>
      <c r="L78" s="20"/>
      <c r="M78" s="20"/>
      <c r="N78" s="20"/>
      <c r="O78" s="20"/>
      <c r="P78" s="20"/>
      <c r="Q78" s="20"/>
      <c r="R78" s="20"/>
      <c r="S78" s="20"/>
      <c r="T78" s="20"/>
      <c r="U78" s="20"/>
      <c r="V78" s="20"/>
      <c r="W78" s="20"/>
      <c r="X78" s="20"/>
      <c r="Y78" s="20"/>
      <c r="Z78" s="20"/>
      <c r="AA78" s="20"/>
      <c r="AB78" s="20"/>
      <c r="AC78" s="20"/>
      <c r="AD78" s="19"/>
    </row>
    <row r="79" spans="1:30" ht="20.25">
      <c r="A79" s="20"/>
      <c r="B79" s="20"/>
      <c r="C79" s="25"/>
      <c r="D79" s="27"/>
      <c r="E79" s="25"/>
      <c r="F79" s="25"/>
      <c r="G79" s="25"/>
      <c r="H79" s="20"/>
      <c r="I79" s="20"/>
      <c r="J79" s="20"/>
      <c r="K79" s="20"/>
      <c r="L79" s="20"/>
      <c r="M79" s="20"/>
      <c r="N79" s="20"/>
      <c r="O79" s="20"/>
      <c r="P79" s="20"/>
      <c r="Q79" s="20"/>
      <c r="R79" s="20"/>
      <c r="S79" s="20"/>
      <c r="T79" s="20"/>
      <c r="U79" s="20"/>
      <c r="V79" s="20"/>
      <c r="W79" s="20"/>
      <c r="X79" s="20"/>
      <c r="Y79" s="20"/>
      <c r="Z79" s="20"/>
      <c r="AA79" s="20"/>
      <c r="AB79" s="20"/>
      <c r="AC79" s="20"/>
      <c r="AD79" s="19"/>
    </row>
    <row r="80" spans="1:30" ht="20.25">
      <c r="A80" s="20"/>
      <c r="B80" s="20"/>
      <c r="C80" s="25"/>
      <c r="D80" s="27"/>
      <c r="E80" s="25"/>
      <c r="F80" s="25"/>
      <c r="G80" s="25"/>
      <c r="H80" s="20"/>
      <c r="I80" s="20"/>
      <c r="J80" s="20"/>
      <c r="K80" s="20"/>
      <c r="L80" s="20"/>
      <c r="M80" s="20"/>
      <c r="N80" s="20"/>
      <c r="O80" s="20"/>
      <c r="P80" s="20"/>
      <c r="Q80" s="20"/>
      <c r="R80" s="20"/>
      <c r="S80" s="20"/>
      <c r="T80" s="20"/>
      <c r="U80" s="20"/>
      <c r="V80" s="20"/>
      <c r="W80" s="20"/>
      <c r="X80" s="20"/>
      <c r="Y80" s="20"/>
      <c r="Z80" s="20"/>
      <c r="AA80" s="20"/>
      <c r="AB80" s="20"/>
      <c r="AC80" s="20"/>
      <c r="AD80" s="19"/>
    </row>
    <row r="81" spans="1:30" ht="20.25">
      <c r="A81" s="20"/>
      <c r="B81" s="20"/>
      <c r="C81" s="25"/>
      <c r="D81" s="27"/>
      <c r="E81" s="25"/>
      <c r="F81" s="25"/>
      <c r="G81" s="25"/>
      <c r="H81" s="20"/>
      <c r="I81" s="20"/>
      <c r="J81" s="20"/>
      <c r="K81" s="20"/>
      <c r="L81" s="20"/>
      <c r="M81" s="20"/>
      <c r="N81" s="20"/>
      <c r="O81" s="20"/>
      <c r="P81" s="20"/>
      <c r="Q81" s="20"/>
      <c r="R81" s="20"/>
      <c r="S81" s="20"/>
      <c r="T81" s="20"/>
      <c r="U81" s="20"/>
      <c r="V81" s="20"/>
      <c r="W81" s="20"/>
      <c r="X81" s="20"/>
      <c r="Y81" s="20"/>
      <c r="Z81" s="20"/>
      <c r="AA81" s="20"/>
      <c r="AB81" s="20"/>
      <c r="AC81" s="20"/>
      <c r="AD81" s="19"/>
    </row>
    <row r="82" spans="1:30" ht="20.25">
      <c r="A82" s="20"/>
      <c r="B82" s="20"/>
      <c r="C82" s="25"/>
      <c r="D82" s="27"/>
      <c r="E82" s="25"/>
      <c r="F82" s="25"/>
      <c r="G82" s="25"/>
      <c r="H82" s="20"/>
      <c r="I82" s="20"/>
      <c r="J82" s="20"/>
      <c r="K82" s="20"/>
      <c r="L82" s="20"/>
      <c r="M82" s="20"/>
      <c r="N82" s="20"/>
      <c r="O82" s="20"/>
      <c r="P82" s="20"/>
      <c r="Q82" s="20"/>
      <c r="R82" s="20"/>
      <c r="S82" s="20"/>
      <c r="T82" s="20"/>
      <c r="U82" s="20"/>
      <c r="V82" s="20"/>
      <c r="W82" s="20"/>
      <c r="X82" s="20"/>
      <c r="Y82" s="20"/>
      <c r="Z82" s="20"/>
      <c r="AA82" s="20"/>
      <c r="AB82" s="20"/>
      <c r="AC82" s="20"/>
      <c r="AD82" s="19"/>
    </row>
    <row r="83" spans="1:30" ht="20.25">
      <c r="A83" s="20"/>
      <c r="B83" s="20"/>
      <c r="C83" s="25"/>
      <c r="D83" s="27"/>
      <c r="E83" s="25"/>
      <c r="F83" s="25"/>
      <c r="G83" s="25"/>
      <c r="H83" s="20"/>
      <c r="I83" s="20"/>
      <c r="J83" s="20"/>
      <c r="K83" s="20"/>
      <c r="L83" s="20"/>
      <c r="M83" s="20"/>
      <c r="N83" s="20"/>
      <c r="O83" s="20"/>
      <c r="P83" s="20"/>
      <c r="Q83" s="20"/>
      <c r="R83" s="20"/>
      <c r="S83" s="20"/>
      <c r="T83" s="20"/>
      <c r="U83" s="20"/>
      <c r="V83" s="20"/>
      <c r="W83" s="20"/>
      <c r="X83" s="20"/>
      <c r="Y83" s="20"/>
      <c r="Z83" s="20"/>
      <c r="AA83" s="20"/>
      <c r="AB83" s="20"/>
      <c r="AC83" s="20"/>
      <c r="AD83" s="19"/>
    </row>
    <row r="84" spans="1:30" ht="20.25">
      <c r="A84" s="20"/>
      <c r="B84" s="20"/>
      <c r="C84" s="25"/>
      <c r="D84" s="27"/>
      <c r="E84" s="25"/>
      <c r="F84" s="25"/>
      <c r="G84" s="25"/>
      <c r="H84" s="20"/>
      <c r="I84" s="20"/>
      <c r="J84" s="20"/>
      <c r="K84" s="20"/>
      <c r="L84" s="20"/>
      <c r="M84" s="20"/>
      <c r="N84" s="20"/>
      <c r="O84" s="20"/>
      <c r="P84" s="20"/>
      <c r="Q84" s="20"/>
      <c r="R84" s="20"/>
      <c r="S84" s="20"/>
      <c r="T84" s="20"/>
      <c r="U84" s="20"/>
      <c r="V84" s="20"/>
      <c r="W84" s="20"/>
      <c r="X84" s="20"/>
      <c r="Y84" s="20"/>
      <c r="Z84" s="20"/>
      <c r="AA84" s="20"/>
      <c r="AB84" s="20"/>
      <c r="AC84" s="20"/>
      <c r="AD84" s="19"/>
    </row>
    <row r="85" spans="1:30" ht="20.25">
      <c r="A85" s="20"/>
      <c r="B85" s="20"/>
      <c r="C85" s="25"/>
      <c r="D85" s="27"/>
      <c r="E85" s="25"/>
      <c r="F85" s="25"/>
      <c r="G85" s="25"/>
      <c r="H85" s="20"/>
      <c r="I85" s="20"/>
      <c r="J85" s="20"/>
      <c r="K85" s="20"/>
      <c r="L85" s="20"/>
      <c r="M85" s="20"/>
      <c r="N85" s="20"/>
      <c r="O85" s="20"/>
      <c r="P85" s="20"/>
      <c r="Q85" s="20"/>
      <c r="R85" s="20"/>
      <c r="S85" s="20"/>
      <c r="T85" s="20"/>
      <c r="U85" s="20"/>
      <c r="V85" s="20"/>
      <c r="W85" s="20"/>
      <c r="X85" s="20"/>
      <c r="Y85" s="20"/>
      <c r="Z85" s="20"/>
      <c r="AA85" s="20"/>
      <c r="AB85" s="20"/>
      <c r="AC85" s="20"/>
      <c r="AD85" s="19"/>
    </row>
    <row r="86" spans="1:30" ht="20.25">
      <c r="A86" s="20"/>
      <c r="B86" s="20"/>
      <c r="C86" s="25"/>
      <c r="D86" s="27"/>
      <c r="E86" s="25"/>
      <c r="F86" s="25"/>
      <c r="G86" s="25"/>
      <c r="H86" s="20"/>
      <c r="I86" s="20"/>
      <c r="J86" s="20"/>
      <c r="K86" s="20"/>
      <c r="L86" s="20"/>
      <c r="M86" s="20"/>
      <c r="N86" s="20"/>
      <c r="O86" s="20"/>
      <c r="P86" s="20"/>
      <c r="Q86" s="20"/>
      <c r="R86" s="20"/>
      <c r="S86" s="20"/>
      <c r="T86" s="20"/>
      <c r="U86" s="20"/>
      <c r="V86" s="20"/>
      <c r="W86" s="20"/>
      <c r="X86" s="20"/>
      <c r="Y86" s="20"/>
      <c r="Z86" s="20"/>
      <c r="AA86" s="20"/>
      <c r="AB86" s="20"/>
      <c r="AC86" s="20"/>
      <c r="AD86" s="19"/>
    </row>
    <row r="87" spans="1:30" ht="20.25">
      <c r="A87" s="20"/>
      <c r="B87" s="20"/>
      <c r="C87" s="25"/>
      <c r="D87" s="27"/>
      <c r="E87" s="25"/>
      <c r="F87" s="25"/>
      <c r="G87" s="25"/>
      <c r="H87" s="20"/>
      <c r="I87" s="20"/>
      <c r="J87" s="20"/>
      <c r="K87" s="20"/>
      <c r="L87" s="20"/>
      <c r="M87" s="20"/>
      <c r="N87" s="20"/>
      <c r="O87" s="20"/>
      <c r="P87" s="20"/>
      <c r="Q87" s="20"/>
      <c r="R87" s="20"/>
      <c r="S87" s="20"/>
      <c r="T87" s="20"/>
      <c r="U87" s="20"/>
      <c r="V87" s="20"/>
      <c r="W87" s="20"/>
      <c r="X87" s="20"/>
      <c r="Y87" s="20"/>
      <c r="Z87" s="20"/>
      <c r="AA87" s="20"/>
      <c r="AB87" s="20"/>
      <c r="AC87" s="20"/>
      <c r="AD87" s="19"/>
    </row>
    <row r="88" spans="1:30" ht="20.25">
      <c r="A88" s="20"/>
      <c r="B88" s="20"/>
      <c r="C88" s="25"/>
      <c r="D88" s="27"/>
      <c r="E88" s="25"/>
      <c r="F88" s="25"/>
      <c r="G88" s="25"/>
      <c r="H88" s="20"/>
      <c r="I88" s="20"/>
      <c r="J88" s="20"/>
      <c r="K88" s="20"/>
      <c r="L88" s="20"/>
      <c r="M88" s="20"/>
      <c r="N88" s="20"/>
      <c r="O88" s="20"/>
      <c r="P88" s="20"/>
      <c r="Q88" s="20"/>
      <c r="R88" s="20"/>
      <c r="S88" s="20"/>
      <c r="T88" s="20"/>
      <c r="U88" s="20"/>
      <c r="V88" s="20"/>
      <c r="W88" s="20"/>
      <c r="X88" s="20"/>
      <c r="Y88" s="20"/>
      <c r="Z88" s="20"/>
      <c r="AA88" s="20"/>
      <c r="AB88" s="20"/>
      <c r="AC88" s="20"/>
      <c r="AD88" s="19"/>
    </row>
    <row r="89" spans="1:30" ht="20.25">
      <c r="A89" s="20"/>
      <c r="B89" s="20"/>
      <c r="C89" s="25"/>
      <c r="D89" s="27"/>
      <c r="E89" s="25"/>
      <c r="F89" s="25"/>
      <c r="G89" s="25"/>
      <c r="H89" s="20"/>
      <c r="I89" s="20"/>
      <c r="J89" s="20"/>
      <c r="K89" s="20"/>
      <c r="L89" s="20"/>
      <c r="M89" s="20"/>
      <c r="N89" s="20"/>
      <c r="O89" s="20"/>
      <c r="P89" s="20"/>
      <c r="Q89" s="20"/>
      <c r="R89" s="20"/>
      <c r="S89" s="20"/>
      <c r="T89" s="20"/>
      <c r="U89" s="20"/>
      <c r="V89" s="20"/>
      <c r="W89" s="20"/>
      <c r="X89" s="20"/>
      <c r="Y89" s="20"/>
      <c r="Z89" s="20"/>
      <c r="AA89" s="20"/>
      <c r="AB89" s="20"/>
      <c r="AC89" s="20"/>
      <c r="AD89" s="19"/>
    </row>
    <row r="90" spans="1:30" ht="20.25">
      <c r="A90" s="20"/>
      <c r="B90" s="20"/>
      <c r="C90" s="25"/>
      <c r="D90" s="27"/>
      <c r="E90" s="25"/>
      <c r="F90" s="25"/>
      <c r="G90" s="25"/>
      <c r="H90" s="20"/>
      <c r="I90" s="20"/>
      <c r="J90" s="20"/>
      <c r="K90" s="20"/>
      <c r="L90" s="20"/>
      <c r="M90" s="20"/>
      <c r="N90" s="20"/>
      <c r="O90" s="20"/>
      <c r="P90" s="20"/>
      <c r="Q90" s="20"/>
      <c r="R90" s="20"/>
      <c r="S90" s="20"/>
      <c r="T90" s="20"/>
      <c r="U90" s="20"/>
      <c r="V90" s="20"/>
      <c r="W90" s="20"/>
      <c r="X90" s="20"/>
      <c r="Y90" s="20"/>
      <c r="Z90" s="20"/>
      <c r="AA90" s="20"/>
      <c r="AB90" s="20"/>
      <c r="AC90" s="20"/>
      <c r="AD90" s="19"/>
    </row>
    <row r="91" spans="1:30" ht="20.25">
      <c r="A91" s="20"/>
      <c r="B91" s="20"/>
      <c r="C91" s="25"/>
      <c r="D91" s="27"/>
      <c r="E91" s="25"/>
      <c r="F91" s="25"/>
      <c r="G91" s="25"/>
      <c r="H91" s="20"/>
      <c r="I91" s="20"/>
      <c r="J91" s="20"/>
      <c r="K91" s="20"/>
      <c r="L91" s="20"/>
      <c r="M91" s="20"/>
      <c r="N91" s="20"/>
      <c r="O91" s="20"/>
      <c r="P91" s="20"/>
      <c r="Q91" s="20"/>
      <c r="R91" s="20"/>
      <c r="S91" s="20"/>
      <c r="T91" s="20"/>
      <c r="U91" s="20"/>
      <c r="V91" s="20"/>
      <c r="W91" s="20"/>
      <c r="X91" s="20"/>
      <c r="Y91" s="20"/>
      <c r="Z91" s="20"/>
      <c r="AA91" s="20"/>
      <c r="AB91" s="20"/>
      <c r="AC91" s="20"/>
      <c r="AD91" s="19"/>
    </row>
    <row r="92" spans="1:30" ht="20.25">
      <c r="A92" s="20"/>
      <c r="B92" s="20"/>
      <c r="C92" s="25"/>
      <c r="D92" s="27"/>
      <c r="E92" s="25"/>
      <c r="F92" s="25"/>
      <c r="G92" s="25"/>
      <c r="H92" s="20"/>
      <c r="I92" s="20"/>
      <c r="J92" s="20"/>
      <c r="K92" s="20"/>
      <c r="L92" s="20"/>
      <c r="M92" s="20"/>
      <c r="N92" s="20"/>
      <c r="O92" s="20"/>
      <c r="P92" s="20"/>
      <c r="Q92" s="20"/>
      <c r="R92" s="20"/>
      <c r="S92" s="20"/>
      <c r="T92" s="20"/>
      <c r="U92" s="20"/>
      <c r="V92" s="20"/>
      <c r="W92" s="20"/>
      <c r="X92" s="20"/>
      <c r="Y92" s="20"/>
      <c r="Z92" s="20"/>
      <c r="AA92" s="20"/>
      <c r="AB92" s="20"/>
      <c r="AC92" s="20"/>
      <c r="AD92" s="19"/>
    </row>
    <row r="93" spans="1:30" ht="20.25">
      <c r="A93" s="20"/>
      <c r="B93" s="20"/>
      <c r="C93" s="25"/>
      <c r="D93" s="27"/>
      <c r="E93" s="25"/>
      <c r="F93" s="25"/>
      <c r="G93" s="25"/>
      <c r="H93" s="20"/>
      <c r="I93" s="20"/>
      <c r="J93" s="20"/>
      <c r="K93" s="20"/>
      <c r="L93" s="20"/>
      <c r="M93" s="20"/>
      <c r="N93" s="20"/>
      <c r="O93" s="20"/>
      <c r="P93" s="20"/>
      <c r="Q93" s="20"/>
      <c r="R93" s="20"/>
      <c r="S93" s="20"/>
      <c r="T93" s="20"/>
      <c r="U93" s="20"/>
      <c r="V93" s="20"/>
      <c r="W93" s="20"/>
      <c r="X93" s="20"/>
      <c r="Y93" s="20"/>
      <c r="Z93" s="20"/>
      <c r="AA93" s="20"/>
      <c r="AB93" s="20"/>
      <c r="AC93" s="20"/>
      <c r="AD93" s="19"/>
    </row>
    <row r="94" spans="1:30" ht="20.25">
      <c r="A94" s="20"/>
      <c r="B94" s="20"/>
      <c r="C94" s="25"/>
      <c r="D94" s="27"/>
      <c r="E94" s="25"/>
      <c r="F94" s="25"/>
      <c r="G94" s="25"/>
      <c r="H94" s="20"/>
      <c r="I94" s="20"/>
      <c r="J94" s="20"/>
      <c r="K94" s="20"/>
      <c r="L94" s="20"/>
      <c r="M94" s="20"/>
      <c r="N94" s="20"/>
      <c r="O94" s="20"/>
      <c r="P94" s="20"/>
      <c r="Q94" s="20"/>
      <c r="R94" s="20"/>
      <c r="S94" s="20"/>
      <c r="T94" s="20"/>
      <c r="U94" s="20"/>
      <c r="V94" s="20"/>
      <c r="W94" s="20"/>
      <c r="X94" s="20"/>
      <c r="Y94" s="20"/>
      <c r="Z94" s="20"/>
      <c r="AA94" s="20"/>
      <c r="AB94" s="20"/>
      <c r="AC94" s="20"/>
      <c r="AD94" s="19"/>
    </row>
    <row r="95" spans="1:30" ht="20.25">
      <c r="A95" s="20"/>
      <c r="B95" s="20"/>
      <c r="C95" s="25"/>
      <c r="D95" s="27"/>
      <c r="E95" s="25"/>
      <c r="F95" s="25"/>
      <c r="G95" s="25"/>
      <c r="H95" s="20"/>
      <c r="I95" s="20"/>
      <c r="J95" s="20"/>
      <c r="K95" s="20"/>
      <c r="L95" s="20"/>
      <c r="M95" s="20"/>
      <c r="N95" s="20"/>
      <c r="O95" s="20"/>
      <c r="P95" s="20"/>
      <c r="Q95" s="20"/>
      <c r="R95" s="20"/>
      <c r="S95" s="20"/>
      <c r="T95" s="20"/>
      <c r="U95" s="20"/>
      <c r="V95" s="20"/>
      <c r="W95" s="20"/>
      <c r="X95" s="20"/>
      <c r="Y95" s="20"/>
      <c r="Z95" s="20"/>
      <c r="AA95" s="20"/>
      <c r="AB95" s="20"/>
      <c r="AC95" s="20"/>
      <c r="AD95" s="19"/>
    </row>
    <row r="96" spans="1:30" ht="20.25">
      <c r="A96" s="20"/>
      <c r="B96" s="20"/>
      <c r="C96" s="25"/>
      <c r="D96" s="27"/>
      <c r="E96" s="25"/>
      <c r="F96" s="25"/>
      <c r="G96" s="25"/>
      <c r="H96" s="20"/>
      <c r="I96" s="20"/>
      <c r="J96" s="20"/>
      <c r="K96" s="20"/>
      <c r="L96" s="20"/>
      <c r="M96" s="20"/>
      <c r="N96" s="20"/>
      <c r="O96" s="20"/>
      <c r="P96" s="20"/>
      <c r="Q96" s="20"/>
      <c r="R96" s="20"/>
      <c r="S96" s="20"/>
      <c r="T96" s="20"/>
      <c r="U96" s="20"/>
      <c r="V96" s="20"/>
      <c r="W96" s="20"/>
      <c r="X96" s="20"/>
      <c r="Y96" s="20"/>
      <c r="Z96" s="20"/>
      <c r="AA96" s="20"/>
      <c r="AB96" s="20"/>
      <c r="AC96" s="20"/>
      <c r="AD96" s="19"/>
    </row>
    <row r="97" spans="1:30" ht="20.25">
      <c r="A97" s="20"/>
      <c r="B97" s="20"/>
      <c r="C97" s="25"/>
      <c r="D97" s="27"/>
      <c r="E97" s="25"/>
      <c r="F97" s="25"/>
      <c r="G97" s="25"/>
      <c r="H97" s="20"/>
      <c r="I97" s="20"/>
      <c r="J97" s="20"/>
      <c r="K97" s="20"/>
      <c r="L97" s="20"/>
      <c r="M97" s="20"/>
      <c r="N97" s="20"/>
      <c r="O97" s="20"/>
      <c r="P97" s="20"/>
      <c r="Q97" s="20"/>
      <c r="R97" s="20"/>
      <c r="S97" s="20"/>
      <c r="T97" s="20"/>
      <c r="U97" s="20"/>
      <c r="V97" s="20"/>
      <c r="W97" s="20"/>
      <c r="X97" s="20"/>
      <c r="Y97" s="20"/>
      <c r="Z97" s="20"/>
      <c r="AA97" s="20"/>
      <c r="AB97" s="20"/>
      <c r="AC97" s="20"/>
      <c r="AD97" s="19"/>
    </row>
    <row r="98" spans="1:30" ht="20.25">
      <c r="A98" s="20"/>
      <c r="B98" s="20"/>
      <c r="C98" s="25"/>
      <c r="D98" s="27"/>
      <c r="E98" s="25"/>
      <c r="F98" s="25"/>
      <c r="G98" s="25"/>
      <c r="H98" s="20"/>
      <c r="I98" s="20"/>
      <c r="J98" s="20"/>
      <c r="K98" s="20"/>
      <c r="L98" s="20"/>
      <c r="M98" s="20"/>
      <c r="N98" s="20"/>
      <c r="O98" s="20"/>
      <c r="P98" s="20"/>
      <c r="Q98" s="20"/>
      <c r="R98" s="20"/>
      <c r="S98" s="20"/>
      <c r="T98" s="20"/>
      <c r="U98" s="20"/>
      <c r="V98" s="20"/>
      <c r="W98" s="20"/>
      <c r="X98" s="20"/>
      <c r="Y98" s="20"/>
      <c r="Z98" s="20"/>
      <c r="AA98" s="20"/>
      <c r="AB98" s="20"/>
      <c r="AC98" s="20"/>
      <c r="AD98" s="19"/>
    </row>
    <row r="99" spans="1:30" ht="20.25">
      <c r="A99" s="20"/>
      <c r="B99" s="20"/>
      <c r="C99" s="25"/>
      <c r="D99" s="27"/>
      <c r="E99" s="25"/>
      <c r="F99" s="25"/>
      <c r="G99" s="25"/>
      <c r="H99" s="20"/>
      <c r="I99" s="20"/>
      <c r="J99" s="20"/>
      <c r="K99" s="20"/>
      <c r="L99" s="20"/>
      <c r="M99" s="20"/>
      <c r="N99" s="20"/>
      <c r="O99" s="20"/>
      <c r="P99" s="20"/>
      <c r="Q99" s="20"/>
      <c r="R99" s="20"/>
      <c r="S99" s="20"/>
      <c r="T99" s="20"/>
      <c r="U99" s="20"/>
      <c r="V99" s="20"/>
      <c r="W99" s="20"/>
      <c r="X99" s="20"/>
      <c r="Y99" s="20"/>
      <c r="Z99" s="20"/>
      <c r="AA99" s="20"/>
      <c r="AB99" s="20"/>
      <c r="AC99" s="20"/>
      <c r="AD99" s="19"/>
    </row>
    <row r="100" spans="1:30" ht="20.25">
      <c r="A100" s="20"/>
      <c r="B100" s="20"/>
      <c r="C100" s="25"/>
      <c r="D100" s="27"/>
      <c r="E100" s="25"/>
      <c r="F100" s="25"/>
      <c r="G100" s="25"/>
      <c r="H100" s="20"/>
      <c r="I100" s="20"/>
      <c r="J100" s="20"/>
      <c r="K100" s="20"/>
      <c r="L100" s="20"/>
      <c r="M100" s="20"/>
      <c r="N100" s="20"/>
      <c r="O100" s="20"/>
      <c r="P100" s="20"/>
      <c r="Q100" s="20"/>
      <c r="R100" s="20"/>
      <c r="S100" s="20"/>
      <c r="T100" s="20"/>
      <c r="U100" s="20"/>
      <c r="V100" s="20"/>
      <c r="W100" s="20"/>
      <c r="X100" s="20"/>
      <c r="Y100" s="20"/>
      <c r="Z100" s="20"/>
      <c r="AA100" s="20"/>
      <c r="AB100" s="20"/>
      <c r="AC100" s="20"/>
      <c r="AD100" s="19"/>
    </row>
    <row r="101" spans="1:30" ht="20.25">
      <c r="A101" s="20"/>
      <c r="B101" s="20"/>
      <c r="C101" s="25"/>
      <c r="D101" s="27"/>
      <c r="E101" s="25"/>
      <c r="F101" s="25"/>
      <c r="G101" s="25"/>
      <c r="H101" s="20"/>
      <c r="I101" s="20"/>
      <c r="J101" s="20"/>
      <c r="K101" s="20"/>
      <c r="L101" s="20"/>
      <c r="M101" s="20"/>
      <c r="N101" s="20"/>
      <c r="O101" s="20"/>
      <c r="P101" s="20"/>
      <c r="Q101" s="20"/>
      <c r="R101" s="20"/>
      <c r="S101" s="20"/>
      <c r="T101" s="20"/>
      <c r="U101" s="20"/>
      <c r="V101" s="20"/>
      <c r="W101" s="20"/>
      <c r="X101" s="20"/>
      <c r="Y101" s="20"/>
      <c r="Z101" s="20"/>
      <c r="AA101" s="20"/>
      <c r="AB101" s="20"/>
      <c r="AC101" s="20"/>
      <c r="AD101" s="19"/>
    </row>
    <row r="102" spans="1:30" ht="20.25">
      <c r="A102" s="20"/>
      <c r="B102" s="20"/>
      <c r="C102" s="25"/>
      <c r="D102" s="27"/>
      <c r="E102" s="25"/>
      <c r="F102" s="25"/>
      <c r="G102" s="25"/>
      <c r="H102" s="20"/>
      <c r="I102" s="20"/>
      <c r="J102" s="20"/>
      <c r="K102" s="20"/>
      <c r="L102" s="20"/>
      <c r="M102" s="20"/>
      <c r="N102" s="20"/>
      <c r="O102" s="20"/>
      <c r="P102" s="20"/>
      <c r="Q102" s="20"/>
      <c r="R102" s="20"/>
      <c r="S102" s="20"/>
      <c r="T102" s="20"/>
      <c r="U102" s="20"/>
      <c r="V102" s="20"/>
      <c r="W102" s="20"/>
      <c r="X102" s="20"/>
      <c r="Y102" s="20"/>
      <c r="Z102" s="20"/>
      <c r="AA102" s="20"/>
      <c r="AB102" s="20"/>
      <c r="AC102" s="20"/>
      <c r="AD102" s="19"/>
    </row>
    <row r="103" spans="1:30" ht="20.25">
      <c r="A103" s="20"/>
      <c r="B103" s="20"/>
      <c r="C103" s="25"/>
      <c r="D103" s="27"/>
      <c r="E103" s="25"/>
      <c r="F103" s="25"/>
      <c r="G103" s="25"/>
      <c r="H103" s="20"/>
      <c r="I103" s="20"/>
      <c r="J103" s="20"/>
      <c r="K103" s="20"/>
      <c r="L103" s="20"/>
      <c r="M103" s="20"/>
      <c r="N103" s="20"/>
      <c r="O103" s="20"/>
      <c r="P103" s="20"/>
      <c r="Q103" s="20"/>
      <c r="R103" s="20"/>
      <c r="S103" s="20"/>
      <c r="T103" s="20"/>
      <c r="U103" s="20"/>
      <c r="V103" s="20"/>
      <c r="W103" s="20"/>
      <c r="X103" s="20"/>
      <c r="Y103" s="20"/>
      <c r="Z103" s="20"/>
      <c r="AA103" s="20"/>
      <c r="AB103" s="20"/>
      <c r="AC103" s="20"/>
      <c r="AD103" s="19"/>
    </row>
    <row r="104" spans="1:30" ht="20.25">
      <c r="A104" s="20"/>
      <c r="B104" s="20"/>
      <c r="C104" s="25"/>
      <c r="D104" s="27"/>
      <c r="E104" s="25"/>
      <c r="F104" s="25"/>
      <c r="G104" s="25"/>
      <c r="H104" s="20"/>
      <c r="I104" s="20"/>
      <c r="J104" s="20"/>
      <c r="K104" s="20"/>
      <c r="L104" s="20"/>
      <c r="M104" s="20"/>
      <c r="N104" s="20"/>
      <c r="O104" s="20"/>
      <c r="P104" s="20"/>
      <c r="Q104" s="20"/>
      <c r="R104" s="20"/>
      <c r="S104" s="20"/>
      <c r="T104" s="20"/>
      <c r="U104" s="20"/>
      <c r="V104" s="20"/>
      <c r="W104" s="20"/>
      <c r="X104" s="20"/>
      <c r="Y104" s="20"/>
      <c r="Z104" s="20"/>
      <c r="AA104" s="20"/>
      <c r="AB104" s="20"/>
      <c r="AC104" s="20"/>
      <c r="AD104" s="19"/>
    </row>
    <row r="105" spans="1:30" ht="20.25">
      <c r="A105" s="20"/>
      <c r="B105" s="20"/>
      <c r="C105" s="25"/>
      <c r="D105" s="27"/>
      <c r="E105" s="25"/>
      <c r="F105" s="25"/>
      <c r="G105" s="25"/>
      <c r="H105" s="20"/>
      <c r="I105" s="20"/>
      <c r="J105" s="20"/>
      <c r="K105" s="20"/>
      <c r="L105" s="20"/>
      <c r="M105" s="20"/>
      <c r="N105" s="20"/>
      <c r="O105" s="20"/>
      <c r="P105" s="20"/>
      <c r="Q105" s="20"/>
      <c r="R105" s="20"/>
      <c r="S105" s="20"/>
      <c r="T105" s="20"/>
      <c r="U105" s="20"/>
      <c r="V105" s="20"/>
      <c r="W105" s="20"/>
      <c r="X105" s="20"/>
      <c r="Y105" s="20"/>
      <c r="Z105" s="20"/>
      <c r="AA105" s="20"/>
      <c r="AB105" s="20"/>
      <c r="AC105" s="20"/>
      <c r="AD105" s="19"/>
    </row>
    <row r="106" spans="1:30" ht="20.25">
      <c r="A106" s="20"/>
      <c r="B106" s="20"/>
      <c r="C106" s="25"/>
      <c r="D106" s="27"/>
      <c r="E106" s="25"/>
      <c r="F106" s="25"/>
      <c r="G106" s="25"/>
      <c r="H106" s="20"/>
      <c r="I106" s="20"/>
      <c r="J106" s="20"/>
      <c r="K106" s="20"/>
      <c r="L106" s="20"/>
      <c r="M106" s="20"/>
      <c r="N106" s="20"/>
      <c r="O106" s="20"/>
      <c r="P106" s="20"/>
      <c r="Q106" s="20"/>
      <c r="R106" s="20"/>
      <c r="S106" s="20"/>
      <c r="T106" s="20"/>
      <c r="U106" s="20"/>
      <c r="V106" s="20"/>
      <c r="W106" s="20"/>
      <c r="X106" s="20"/>
      <c r="Y106" s="20"/>
      <c r="Z106" s="20"/>
      <c r="AA106" s="20"/>
      <c r="AB106" s="20"/>
      <c r="AC106" s="20"/>
      <c r="AD106" s="19"/>
    </row>
    <row r="107" spans="1:30" ht="20.25">
      <c r="A107" s="20"/>
      <c r="B107" s="20"/>
      <c r="C107" s="25"/>
      <c r="D107" s="27"/>
      <c r="E107" s="25"/>
      <c r="F107" s="25"/>
      <c r="G107" s="25"/>
      <c r="H107" s="20"/>
      <c r="I107" s="20"/>
      <c r="J107" s="20"/>
      <c r="K107" s="20"/>
      <c r="L107" s="20"/>
      <c r="M107" s="20"/>
      <c r="N107" s="20"/>
      <c r="O107" s="20"/>
      <c r="P107" s="20"/>
      <c r="Q107" s="20"/>
      <c r="R107" s="20"/>
      <c r="S107" s="20"/>
      <c r="T107" s="20"/>
      <c r="U107" s="20"/>
      <c r="V107" s="20"/>
      <c r="W107" s="20"/>
      <c r="X107" s="20"/>
      <c r="Y107" s="20"/>
      <c r="Z107" s="20"/>
      <c r="AA107" s="20"/>
      <c r="AB107" s="20"/>
      <c r="AC107" s="20"/>
      <c r="AD107" s="19"/>
    </row>
    <row r="108" spans="1:30" ht="20.25">
      <c r="A108" s="20"/>
      <c r="B108" s="20"/>
      <c r="C108" s="25"/>
      <c r="D108" s="27"/>
      <c r="E108" s="25"/>
      <c r="F108" s="25"/>
      <c r="G108" s="25"/>
      <c r="H108" s="20"/>
      <c r="I108" s="20"/>
      <c r="J108" s="20"/>
      <c r="K108" s="20"/>
      <c r="L108" s="20"/>
      <c r="M108" s="20"/>
      <c r="N108" s="20"/>
      <c r="O108" s="20"/>
      <c r="P108" s="20"/>
      <c r="Q108" s="20"/>
      <c r="R108" s="20"/>
      <c r="S108" s="20"/>
      <c r="T108" s="20"/>
      <c r="U108" s="20"/>
      <c r="V108" s="20"/>
      <c r="W108" s="20"/>
      <c r="X108" s="20"/>
      <c r="Y108" s="20"/>
      <c r="Z108" s="20"/>
      <c r="AA108" s="20"/>
      <c r="AB108" s="20"/>
      <c r="AC108" s="20"/>
      <c r="AD108" s="19"/>
    </row>
    <row r="109" spans="1:30" ht="20.25">
      <c r="A109" s="20"/>
      <c r="B109" s="20"/>
      <c r="C109" s="25"/>
      <c r="D109" s="27"/>
      <c r="E109" s="25"/>
      <c r="F109" s="25"/>
      <c r="G109" s="25"/>
      <c r="H109" s="20"/>
      <c r="I109" s="20"/>
      <c r="J109" s="20"/>
      <c r="K109" s="20"/>
      <c r="L109" s="20"/>
      <c r="M109" s="20"/>
      <c r="N109" s="20"/>
      <c r="O109" s="20"/>
      <c r="P109" s="20"/>
      <c r="Q109" s="20"/>
      <c r="R109" s="20"/>
      <c r="S109" s="20"/>
      <c r="T109" s="20"/>
      <c r="U109" s="20"/>
      <c r="V109" s="20"/>
      <c r="W109" s="20"/>
      <c r="X109" s="20"/>
      <c r="Y109" s="20"/>
      <c r="Z109" s="20"/>
      <c r="AA109" s="20"/>
      <c r="AB109" s="20"/>
      <c r="AC109" s="20"/>
      <c r="AD109" s="19"/>
    </row>
    <row r="110" spans="1:30" ht="20.25">
      <c r="A110" s="20"/>
      <c r="B110" s="20"/>
      <c r="C110" s="25"/>
      <c r="D110" s="27"/>
      <c r="E110" s="25"/>
      <c r="F110" s="25"/>
      <c r="G110" s="25"/>
      <c r="H110" s="20"/>
      <c r="I110" s="20"/>
      <c r="J110" s="20"/>
      <c r="K110" s="20"/>
      <c r="L110" s="20"/>
      <c r="M110" s="20"/>
      <c r="N110" s="20"/>
      <c r="O110" s="20"/>
      <c r="P110" s="20"/>
      <c r="Q110" s="20"/>
      <c r="R110" s="20"/>
      <c r="S110" s="20"/>
      <c r="T110" s="20"/>
      <c r="U110" s="20"/>
      <c r="V110" s="20"/>
      <c r="W110" s="20"/>
      <c r="X110" s="20"/>
      <c r="Y110" s="20"/>
      <c r="Z110" s="20"/>
      <c r="AA110" s="20"/>
      <c r="AB110" s="20"/>
      <c r="AC110" s="20"/>
      <c r="AD110" s="19"/>
    </row>
    <row r="111" spans="1:30" ht="20.25">
      <c r="A111" s="20"/>
      <c r="B111" s="20"/>
      <c r="C111" s="25"/>
      <c r="D111" s="27"/>
      <c r="E111" s="25"/>
      <c r="F111" s="25"/>
      <c r="G111" s="25"/>
      <c r="H111" s="20"/>
      <c r="I111" s="20"/>
      <c r="J111" s="20"/>
      <c r="K111" s="20"/>
      <c r="L111" s="20"/>
      <c r="M111" s="20"/>
      <c r="N111" s="20"/>
      <c r="O111" s="20"/>
      <c r="P111" s="20"/>
      <c r="Q111" s="20"/>
      <c r="R111" s="20"/>
      <c r="S111" s="20"/>
      <c r="T111" s="20"/>
      <c r="U111" s="20"/>
      <c r="V111" s="20"/>
      <c r="W111" s="20"/>
      <c r="X111" s="20"/>
      <c r="Y111" s="20"/>
      <c r="Z111" s="20"/>
      <c r="AA111" s="20"/>
      <c r="AB111" s="20"/>
      <c r="AC111" s="20"/>
      <c r="AD111" s="19"/>
    </row>
    <row r="112" spans="1:30" ht="20.25">
      <c r="A112" s="20"/>
      <c r="B112" s="20"/>
      <c r="C112" s="25"/>
      <c r="D112" s="27"/>
      <c r="E112" s="25"/>
      <c r="F112" s="25"/>
      <c r="G112" s="25"/>
      <c r="H112" s="20"/>
      <c r="I112" s="20"/>
      <c r="J112" s="20"/>
      <c r="K112" s="20"/>
      <c r="L112" s="20"/>
      <c r="M112" s="20"/>
      <c r="N112" s="20"/>
      <c r="O112" s="20"/>
      <c r="P112" s="20"/>
      <c r="Q112" s="20"/>
      <c r="R112" s="20"/>
      <c r="S112" s="20"/>
      <c r="T112" s="20"/>
      <c r="U112" s="20"/>
      <c r="V112" s="20"/>
      <c r="W112" s="20"/>
      <c r="X112" s="20"/>
      <c r="Y112" s="20"/>
      <c r="Z112" s="20"/>
      <c r="AA112" s="20"/>
      <c r="AB112" s="20"/>
      <c r="AC112" s="20"/>
      <c r="AD112" s="19"/>
    </row>
    <row r="113" spans="1:30" ht="20.25">
      <c r="A113" s="20"/>
      <c r="B113" s="20"/>
      <c r="C113" s="25"/>
      <c r="D113" s="27"/>
      <c r="E113" s="25"/>
      <c r="F113" s="25"/>
      <c r="G113" s="25"/>
      <c r="H113" s="20"/>
      <c r="I113" s="20"/>
      <c r="J113" s="20"/>
      <c r="K113" s="20"/>
      <c r="L113" s="20"/>
      <c r="M113" s="20"/>
      <c r="N113" s="20"/>
      <c r="O113" s="20"/>
      <c r="P113" s="20"/>
      <c r="Q113" s="20"/>
      <c r="R113" s="20"/>
      <c r="S113" s="20"/>
      <c r="T113" s="20"/>
      <c r="U113" s="20"/>
      <c r="V113" s="20"/>
      <c r="W113" s="20"/>
      <c r="X113" s="20"/>
      <c r="Y113" s="20"/>
      <c r="Z113" s="20"/>
      <c r="AA113" s="20"/>
      <c r="AB113" s="20"/>
      <c r="AC113" s="20"/>
      <c r="AD113" s="19"/>
    </row>
    <row r="114" spans="1:30" ht="20.25">
      <c r="A114" s="20"/>
      <c r="B114" s="20"/>
      <c r="C114" s="25"/>
      <c r="D114" s="27"/>
      <c r="E114" s="25"/>
      <c r="F114" s="25"/>
      <c r="G114" s="25"/>
      <c r="H114" s="20"/>
      <c r="I114" s="20"/>
      <c r="J114" s="20"/>
      <c r="K114" s="20"/>
      <c r="L114" s="20"/>
      <c r="M114" s="20"/>
      <c r="N114" s="20"/>
      <c r="O114" s="20"/>
      <c r="P114" s="20"/>
      <c r="Q114" s="20"/>
      <c r="R114" s="20"/>
      <c r="S114" s="20"/>
      <c r="T114" s="20"/>
      <c r="U114" s="20"/>
      <c r="V114" s="20"/>
      <c r="W114" s="20"/>
      <c r="X114" s="20"/>
      <c r="Y114" s="20"/>
      <c r="Z114" s="20"/>
      <c r="AA114" s="20"/>
      <c r="AB114" s="20"/>
      <c r="AC114" s="20"/>
      <c r="AD114" s="19"/>
    </row>
    <row r="115" spans="1:30" ht="20.25">
      <c r="A115" s="20"/>
      <c r="B115" s="20"/>
      <c r="C115" s="25"/>
      <c r="D115" s="27"/>
      <c r="E115" s="25"/>
      <c r="F115" s="25"/>
      <c r="G115" s="25"/>
      <c r="H115" s="20"/>
      <c r="I115" s="20"/>
      <c r="J115" s="20"/>
      <c r="K115" s="20"/>
      <c r="L115" s="20"/>
      <c r="M115" s="20"/>
      <c r="N115" s="20"/>
      <c r="O115" s="20"/>
      <c r="P115" s="20"/>
      <c r="Q115" s="20"/>
      <c r="R115" s="20"/>
      <c r="S115" s="20"/>
      <c r="T115" s="20"/>
      <c r="U115" s="20"/>
      <c r="V115" s="20"/>
      <c r="W115" s="20"/>
      <c r="X115" s="20"/>
      <c r="Y115" s="20"/>
      <c r="Z115" s="20"/>
      <c r="AA115" s="20"/>
      <c r="AB115" s="20"/>
      <c r="AC115" s="20"/>
      <c r="AD115" s="19"/>
    </row>
    <row r="116" spans="1:30" ht="20.25">
      <c r="A116" s="19"/>
      <c r="B116" s="19"/>
      <c r="C116" s="26"/>
      <c r="D116" s="28"/>
      <c r="E116" s="26"/>
      <c r="F116" s="26"/>
      <c r="G116" s="26"/>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row>
    <row r="117" spans="1:30" ht="20.25">
      <c r="A117" s="19"/>
      <c r="B117" s="19"/>
      <c r="C117" s="26"/>
      <c r="D117" s="28"/>
      <c r="E117" s="26"/>
      <c r="F117" s="26"/>
      <c r="G117" s="26"/>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row>
    <row r="118" spans="1:30" ht="20.25">
      <c r="A118" s="19"/>
      <c r="B118" s="19"/>
      <c r="C118" s="26"/>
      <c r="D118" s="28"/>
      <c r="E118" s="26"/>
      <c r="F118" s="26"/>
      <c r="G118" s="26"/>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row>
    <row r="119" spans="1:30" ht="20.25">
      <c r="A119" s="19"/>
      <c r="B119" s="19"/>
      <c r="C119" s="26"/>
      <c r="D119" s="28"/>
      <c r="E119" s="26"/>
      <c r="F119" s="26"/>
      <c r="G119" s="26"/>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row>
    <row r="120" spans="1:30" ht="20.25">
      <c r="A120" s="19"/>
      <c r="B120" s="19"/>
      <c r="C120" s="26"/>
      <c r="D120" s="28"/>
      <c r="E120" s="26"/>
      <c r="F120" s="26"/>
      <c r="G120" s="26"/>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row>
    <row r="121" spans="1:30" ht="20.25">
      <c r="A121" s="19"/>
      <c r="B121" s="19"/>
      <c r="C121" s="26"/>
      <c r="D121" s="28"/>
      <c r="E121" s="26"/>
      <c r="F121" s="26"/>
      <c r="G121" s="26"/>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row>
    <row r="122" spans="1:30" ht="20.25">
      <c r="A122" s="19"/>
      <c r="B122" s="19"/>
      <c r="C122" s="26"/>
      <c r="D122" s="28"/>
      <c r="E122" s="26"/>
      <c r="F122" s="26"/>
      <c r="G122" s="26"/>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row>
    <row r="123" spans="1:30" ht="20.25">
      <c r="A123" s="19"/>
      <c r="B123" s="19"/>
      <c r="C123" s="26"/>
      <c r="D123" s="28"/>
      <c r="E123" s="26"/>
      <c r="F123" s="26"/>
      <c r="G123" s="26"/>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row>
    <row r="124" spans="1:30" ht="20.25">
      <c r="A124" s="19"/>
      <c r="B124" s="19"/>
      <c r="C124" s="26"/>
      <c r="D124" s="28"/>
      <c r="E124" s="26"/>
      <c r="F124" s="26"/>
      <c r="G124" s="26"/>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row>
    <row r="125" spans="1:30" ht="20.25">
      <c r="A125" s="19"/>
      <c r="B125" s="19"/>
      <c r="C125" s="26"/>
      <c r="D125" s="28"/>
      <c r="E125" s="26"/>
      <c r="F125" s="26"/>
      <c r="G125" s="26"/>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row>
    <row r="126" spans="1:30" ht="20.25">
      <c r="A126" s="19"/>
      <c r="B126" s="19"/>
      <c r="C126" s="26"/>
      <c r="D126" s="28"/>
      <c r="E126" s="26"/>
      <c r="F126" s="26"/>
      <c r="G126" s="26"/>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row>
    <row r="127" spans="1:30" ht="20.25">
      <c r="A127" s="19"/>
      <c r="B127" s="19"/>
      <c r="C127" s="26"/>
      <c r="D127" s="28"/>
      <c r="E127" s="26"/>
      <c r="F127" s="26"/>
      <c r="G127" s="26"/>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row>
    <row r="128" spans="1:30" ht="20.25">
      <c r="A128" s="19"/>
      <c r="B128" s="19"/>
      <c r="C128" s="26"/>
      <c r="D128" s="28"/>
      <c r="E128" s="26"/>
      <c r="F128" s="26"/>
      <c r="G128" s="26"/>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row>
    <row r="129" spans="1:30" ht="20.25">
      <c r="A129" s="19"/>
      <c r="B129" s="19"/>
      <c r="C129" s="26"/>
      <c r="D129" s="28"/>
      <c r="E129" s="26"/>
      <c r="F129" s="26"/>
      <c r="G129" s="26"/>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row>
    <row r="130" spans="1:30" ht="20.25">
      <c r="A130" s="19"/>
      <c r="B130" s="19"/>
      <c r="C130" s="26"/>
      <c r="D130" s="28"/>
      <c r="E130" s="26"/>
      <c r="F130" s="26"/>
      <c r="G130" s="26"/>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row>
    <row r="131" spans="1:30" ht="20.25">
      <c r="A131" s="19"/>
      <c r="B131" s="19"/>
      <c r="C131" s="26"/>
      <c r="D131" s="28"/>
      <c r="E131" s="26"/>
      <c r="F131" s="26"/>
      <c r="G131" s="26"/>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row>
    <row r="132" spans="1:30" ht="20.25">
      <c r="A132" s="19"/>
      <c r="B132" s="19"/>
      <c r="C132" s="26"/>
      <c r="D132" s="28"/>
      <c r="E132" s="26"/>
      <c r="F132" s="26"/>
      <c r="G132" s="26"/>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row>
    <row r="133" spans="1:30" ht="20.25">
      <c r="A133" s="19"/>
      <c r="B133" s="19"/>
      <c r="C133" s="26"/>
      <c r="D133" s="28"/>
      <c r="E133" s="26"/>
      <c r="F133" s="26"/>
      <c r="G133" s="26"/>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row>
  </sheetData>
  <mergeCells count="5">
    <mergeCell ref="J26:K26"/>
    <mergeCell ref="A1:M1"/>
    <mergeCell ref="D14:G14"/>
    <mergeCell ref="J14:L14"/>
    <mergeCell ref="J21:K21"/>
  </mergeCells>
  <phoneticPr fontId="2" type="noConversion"/>
  <hyperlinks>
    <hyperlink ref="O1" r:id="rId1" xr:uid="{E4421C0E-4EF4-49D0-8132-E7994DB471A5}"/>
  </hyperlinks>
  <pageMargins left="0.39370078740157483" right="0.39370078740157483" top="0.39370078740157483" bottom="0.39370078740157483" header="0.39370078740157483" footer="0.51181102362204722"/>
  <pageSetup paperSize="9" orientation="landscape" horizontalDpi="300" verticalDpi="300"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C31BD-E553-4521-A7CD-2BB6DB3F5739}">
  <dimension ref="A1:L33"/>
  <sheetViews>
    <sheetView workbookViewId="0">
      <selection activeCell="K1" sqref="K1"/>
    </sheetView>
  </sheetViews>
  <sheetFormatPr defaultRowHeight="12.75"/>
  <cols>
    <col min="1" max="1" width="9.140625" style="7"/>
    <col min="2" max="2" width="20.140625" style="7" customWidth="1"/>
    <col min="3" max="3" width="9.140625" style="7"/>
    <col min="4" max="4" width="9.28515625" style="7" bestFit="1" customWidth="1"/>
    <col min="5" max="5" width="10.140625" style="7" bestFit="1" customWidth="1"/>
    <col min="6" max="6" width="10.7109375" style="7" bestFit="1" customWidth="1"/>
    <col min="7" max="7" width="10" style="7" bestFit="1" customWidth="1"/>
    <col min="8" max="8" width="12.7109375" style="7" bestFit="1" customWidth="1"/>
    <col min="9" max="9" width="9.140625" style="7"/>
    <col min="10" max="10" width="11.5703125" style="7" customWidth="1"/>
    <col min="11" max="16384" width="9.140625" style="7"/>
  </cols>
  <sheetData>
    <row r="1" spans="1:12" s="85" customFormat="1" ht="15.75">
      <c r="A1" s="1072" t="s">
        <v>114</v>
      </c>
      <c r="B1" s="1072"/>
      <c r="C1" s="1072"/>
      <c r="D1" s="1072"/>
      <c r="E1" s="1072"/>
      <c r="F1" s="1072"/>
      <c r="G1" s="1072"/>
      <c r="H1" s="1072"/>
      <c r="K1" s="886" t="s">
        <v>1991</v>
      </c>
      <c r="L1" s="145"/>
    </row>
    <row r="2" spans="1:12" s="85" customFormat="1" ht="31.5">
      <c r="A2" s="271" t="s">
        <v>1073</v>
      </c>
      <c r="B2" s="271" t="s">
        <v>115</v>
      </c>
      <c r="C2" s="271" t="s">
        <v>116</v>
      </c>
      <c r="D2" s="271" t="s">
        <v>117</v>
      </c>
      <c r="E2" s="271" t="s">
        <v>118</v>
      </c>
      <c r="F2" s="271" t="s">
        <v>119</v>
      </c>
      <c r="G2" s="271" t="s">
        <v>120</v>
      </c>
      <c r="H2" s="271" t="s">
        <v>121</v>
      </c>
    </row>
    <row r="3" spans="1:12" s="85" customFormat="1" ht="15">
      <c r="A3" s="93">
        <v>1</v>
      </c>
      <c r="B3" s="93" t="s">
        <v>1010</v>
      </c>
      <c r="C3" s="93" t="s">
        <v>122</v>
      </c>
      <c r="D3" s="272">
        <v>35796</v>
      </c>
      <c r="E3" s="272">
        <v>35805</v>
      </c>
      <c r="F3" s="98">
        <f t="shared" ref="F3:F8" si="0">IF((E3-D3)=0,1,E3-D3)*(VLOOKUP(LEFT(C3,1),$A$12:$B$14,2,0))</f>
        <v>4500000</v>
      </c>
      <c r="G3" s="98">
        <f t="shared" ref="G3:G8" si="1">IF(AND(DAY(D3)&lt;=15,DAY(E3)&gt;=15),(VLOOKUP(LEFT(C3,1),$A$12:$B$14,2,0)*50%),0)</f>
        <v>0</v>
      </c>
      <c r="H3" s="98">
        <f t="shared" ref="H3:H8" si="2">F3-G3</f>
        <v>4500000</v>
      </c>
    </row>
    <row r="4" spans="1:12" s="85" customFormat="1" ht="15">
      <c r="A4" s="93">
        <v>2</v>
      </c>
      <c r="B4" s="93" t="s">
        <v>123</v>
      </c>
      <c r="C4" s="93" t="s">
        <v>124</v>
      </c>
      <c r="D4" s="272">
        <v>35810</v>
      </c>
      <c r="E4" s="272">
        <v>35810</v>
      </c>
      <c r="F4" s="98">
        <f t="shared" si="0"/>
        <v>300000</v>
      </c>
      <c r="G4" s="98">
        <f t="shared" si="1"/>
        <v>150000</v>
      </c>
      <c r="H4" s="98">
        <f t="shared" si="2"/>
        <v>150000</v>
      </c>
    </row>
    <row r="5" spans="1:12" s="85" customFormat="1" ht="15">
      <c r="A5" s="93">
        <v>3</v>
      </c>
      <c r="B5" s="93" t="s">
        <v>1010</v>
      </c>
      <c r="C5" s="93" t="s">
        <v>122</v>
      </c>
      <c r="D5" s="272">
        <v>35815</v>
      </c>
      <c r="E5" s="272">
        <v>35820</v>
      </c>
      <c r="F5" s="98">
        <f t="shared" si="0"/>
        <v>2500000</v>
      </c>
      <c r="G5" s="98">
        <f t="shared" si="1"/>
        <v>0</v>
      </c>
      <c r="H5" s="98">
        <f t="shared" si="2"/>
        <v>2500000</v>
      </c>
    </row>
    <row r="6" spans="1:12" s="85" customFormat="1" ht="15">
      <c r="A6" s="93">
        <v>4</v>
      </c>
      <c r="B6" s="93" t="s">
        <v>1437</v>
      </c>
      <c r="C6" s="93" t="s">
        <v>125</v>
      </c>
      <c r="D6" s="272">
        <v>35810</v>
      </c>
      <c r="E6" s="272">
        <v>35815</v>
      </c>
      <c r="F6" s="98">
        <f t="shared" si="0"/>
        <v>1000000</v>
      </c>
      <c r="G6" s="98">
        <f t="shared" si="1"/>
        <v>100000</v>
      </c>
      <c r="H6" s="98">
        <f t="shared" si="2"/>
        <v>900000</v>
      </c>
    </row>
    <row r="7" spans="1:12" s="85" customFormat="1" ht="15">
      <c r="A7" s="93">
        <v>5</v>
      </c>
      <c r="B7" s="93" t="s">
        <v>1003</v>
      </c>
      <c r="C7" s="93" t="s">
        <v>126</v>
      </c>
      <c r="D7" s="272">
        <v>35820</v>
      </c>
      <c r="E7" s="272">
        <v>35825</v>
      </c>
      <c r="F7" s="98">
        <f t="shared" si="0"/>
        <v>1500000</v>
      </c>
      <c r="G7" s="98">
        <f t="shared" si="1"/>
        <v>0</v>
      </c>
      <c r="H7" s="98">
        <f t="shared" si="2"/>
        <v>1500000</v>
      </c>
    </row>
    <row r="8" spans="1:12" s="85" customFormat="1" ht="15">
      <c r="A8" s="93">
        <v>6</v>
      </c>
      <c r="B8" s="93" t="s">
        <v>127</v>
      </c>
      <c r="C8" s="93" t="s">
        <v>128</v>
      </c>
      <c r="D8" s="272">
        <v>35796</v>
      </c>
      <c r="E8" s="272">
        <v>35825</v>
      </c>
      <c r="F8" s="98">
        <f t="shared" si="0"/>
        <v>14500000</v>
      </c>
      <c r="G8" s="98">
        <f t="shared" si="1"/>
        <v>250000</v>
      </c>
      <c r="H8" s="98">
        <f t="shared" si="2"/>
        <v>14250000</v>
      </c>
    </row>
    <row r="9" spans="1:12" s="85" customFormat="1" ht="15">
      <c r="H9" s="86"/>
    </row>
    <row r="10" spans="1:12" s="85" customFormat="1" ht="15.75">
      <c r="A10" s="1072" t="s">
        <v>129</v>
      </c>
      <c r="B10" s="1072"/>
    </row>
    <row r="11" spans="1:12" s="85" customFormat="1" ht="15.75">
      <c r="A11" s="273" t="s">
        <v>130</v>
      </c>
      <c r="B11" s="273" t="s">
        <v>131</v>
      </c>
      <c r="D11" s="87"/>
      <c r="E11" s="87"/>
      <c r="G11" s="88" t="s">
        <v>132</v>
      </c>
    </row>
    <row r="12" spans="1:12" s="85" customFormat="1" ht="15">
      <c r="A12" s="97" t="s">
        <v>1139</v>
      </c>
      <c r="B12" s="97">
        <v>500000</v>
      </c>
      <c r="D12" s="89"/>
      <c r="E12" s="87"/>
      <c r="G12" s="88" t="b">
        <f>(DAY(E3)&lt;=15)</f>
        <v>1</v>
      </c>
    </row>
    <row r="13" spans="1:12" s="85" customFormat="1" ht="15">
      <c r="A13" s="97" t="s">
        <v>1140</v>
      </c>
      <c r="B13" s="97">
        <v>300000</v>
      </c>
      <c r="G13" s="90"/>
    </row>
    <row r="14" spans="1:12" s="85" customFormat="1" ht="15.75">
      <c r="A14" s="97" t="s">
        <v>1141</v>
      </c>
      <c r="B14" s="97">
        <v>200000</v>
      </c>
      <c r="D14" s="273" t="s">
        <v>133</v>
      </c>
      <c r="E14" s="273"/>
      <c r="F14" s="273"/>
      <c r="G14" s="273"/>
      <c r="H14" s="98">
        <f>COUNTIF(G3:G8,"&gt;0")</f>
        <v>3</v>
      </c>
    </row>
    <row r="15" spans="1:12" s="85" customFormat="1" ht="15.75">
      <c r="A15" s="87"/>
      <c r="B15" s="87"/>
      <c r="D15" s="273" t="s">
        <v>134</v>
      </c>
      <c r="E15" s="273"/>
      <c r="F15" s="273"/>
      <c r="G15" s="273"/>
      <c r="H15" s="98">
        <f>DSUM(A2:H8,H2,G11:G12)</f>
        <v>4650000</v>
      </c>
    </row>
    <row r="16" spans="1:12" s="85" customFormat="1" ht="15.75">
      <c r="A16" s="1072" t="s">
        <v>135</v>
      </c>
      <c r="B16" s="1072"/>
      <c r="C16" s="1072"/>
      <c r="D16" s="1072"/>
      <c r="E16" s="1072"/>
      <c r="F16" s="1072"/>
      <c r="G16" s="1072"/>
      <c r="H16" s="90"/>
    </row>
    <row r="17" spans="1:10" ht="31.5">
      <c r="A17" s="271" t="s">
        <v>115</v>
      </c>
      <c r="B17" s="271" t="s">
        <v>116</v>
      </c>
      <c r="C17" s="271" t="s">
        <v>117</v>
      </c>
      <c r="D17" s="271" t="s">
        <v>118</v>
      </c>
      <c r="E17" s="271" t="s">
        <v>119</v>
      </c>
      <c r="F17" s="271" t="s">
        <v>120</v>
      </c>
      <c r="G17" s="271" t="s">
        <v>121</v>
      </c>
      <c r="H17" s="91" t="s">
        <v>132</v>
      </c>
      <c r="I17" s="90"/>
    </row>
    <row r="18" spans="1:10" ht="15">
      <c r="A18" s="97" t="s">
        <v>1003</v>
      </c>
      <c r="B18" s="97" t="s">
        <v>126</v>
      </c>
      <c r="C18" s="661">
        <v>35820</v>
      </c>
      <c r="D18" s="661">
        <v>35825</v>
      </c>
      <c r="E18" s="98">
        <v>1500000</v>
      </c>
      <c r="F18" s="98">
        <v>0</v>
      </c>
      <c r="G18" s="98">
        <v>1500000</v>
      </c>
      <c r="H18" s="91" t="b">
        <f>(DAY(E3)=30)</f>
        <v>0</v>
      </c>
      <c r="I18" s="90"/>
    </row>
    <row r="19" spans="1:10" ht="15">
      <c r="A19" s="97" t="s">
        <v>127</v>
      </c>
      <c r="B19" s="97" t="s">
        <v>128</v>
      </c>
      <c r="C19" s="661">
        <v>35796</v>
      </c>
      <c r="D19" s="661">
        <v>35825</v>
      </c>
      <c r="E19" s="98">
        <v>14500000</v>
      </c>
      <c r="F19" s="98">
        <v>0</v>
      </c>
      <c r="G19" s="98">
        <v>14500000</v>
      </c>
      <c r="H19" s="90"/>
      <c r="I19" s="90"/>
    </row>
    <row r="20" spans="1:10" ht="15">
      <c r="B20" s="87"/>
      <c r="C20" s="87"/>
      <c r="D20" s="89"/>
      <c r="E20" s="89"/>
    </row>
    <row r="21" spans="1:10" ht="15.75">
      <c r="A21" s="274" t="s">
        <v>136</v>
      </c>
      <c r="B21" s="275"/>
      <c r="C21" s="275"/>
      <c r="D21" s="275"/>
      <c r="E21" s="275"/>
      <c r="F21" s="275"/>
      <c r="G21" s="275"/>
      <c r="H21" s="275"/>
      <c r="I21" s="275"/>
      <c r="J21" s="275"/>
    </row>
    <row r="22" spans="1:10" ht="15.75">
      <c r="A22" s="274" t="s">
        <v>137</v>
      </c>
      <c r="B22" s="275"/>
      <c r="C22" s="275"/>
      <c r="D22" s="275"/>
      <c r="E22" s="275"/>
      <c r="F22" s="275"/>
      <c r="G22" s="275"/>
      <c r="H22" s="275"/>
      <c r="I22" s="275"/>
      <c r="J22" s="275"/>
    </row>
    <row r="23" spans="1:10" ht="15.75">
      <c r="A23" s="274" t="s">
        <v>138</v>
      </c>
      <c r="B23" s="275"/>
      <c r="C23" s="275"/>
      <c r="D23" s="275"/>
      <c r="E23" s="275"/>
      <c r="F23" s="275"/>
      <c r="G23" s="275"/>
      <c r="H23" s="275"/>
      <c r="I23" s="275"/>
      <c r="J23" s="275"/>
    </row>
    <row r="24" spans="1:10" ht="15.75">
      <c r="A24" s="274" t="s">
        <v>139</v>
      </c>
      <c r="B24" s="275"/>
      <c r="C24" s="275"/>
      <c r="D24" s="275"/>
      <c r="E24" s="275"/>
      <c r="F24" s="275"/>
      <c r="G24" s="275"/>
      <c r="H24" s="275"/>
      <c r="I24" s="275"/>
      <c r="J24" s="275"/>
    </row>
    <row r="25" spans="1:10" ht="15.75">
      <c r="A25" s="274" t="s">
        <v>140</v>
      </c>
      <c r="B25" s="275"/>
      <c r="C25" s="275"/>
      <c r="D25" s="275"/>
      <c r="E25" s="275"/>
      <c r="F25" s="275"/>
      <c r="G25" s="275"/>
      <c r="H25" s="275"/>
      <c r="I25" s="275"/>
      <c r="J25" s="275"/>
    </row>
    <row r="26" spans="1:10" ht="15.75">
      <c r="A26" s="274" t="s">
        <v>141</v>
      </c>
      <c r="B26" s="275"/>
      <c r="C26" s="275"/>
      <c r="D26" s="275"/>
      <c r="E26" s="275"/>
      <c r="F26" s="275"/>
      <c r="G26" s="275"/>
      <c r="H26" s="275"/>
      <c r="I26" s="275"/>
      <c r="J26" s="275"/>
    </row>
    <row r="27" spans="1:10" ht="15.75">
      <c r="A27" s="274" t="s">
        <v>142</v>
      </c>
      <c r="B27" s="275"/>
      <c r="C27" s="275"/>
      <c r="D27" s="275"/>
      <c r="E27" s="275"/>
      <c r="F27" s="275"/>
      <c r="G27" s="275"/>
      <c r="H27" s="275"/>
      <c r="I27" s="275"/>
      <c r="J27" s="275"/>
    </row>
    <row r="28" spans="1:10" ht="15.75">
      <c r="A28" s="274" t="s">
        <v>143</v>
      </c>
      <c r="B28" s="275"/>
      <c r="C28" s="275"/>
      <c r="D28" s="275"/>
      <c r="E28" s="275"/>
      <c r="F28" s="275"/>
      <c r="G28" s="275"/>
      <c r="H28" s="275"/>
      <c r="I28" s="275"/>
      <c r="J28" s="275"/>
    </row>
    <row r="29" spans="1:10" ht="15.75">
      <c r="A29" s="274" t="s">
        <v>144</v>
      </c>
      <c r="B29" s="275"/>
      <c r="C29" s="275"/>
      <c r="D29" s="275"/>
      <c r="E29" s="275"/>
      <c r="F29" s="275"/>
      <c r="G29" s="275"/>
      <c r="H29" s="275"/>
      <c r="I29" s="275"/>
      <c r="J29" s="275"/>
    </row>
    <row r="30" spans="1:10" ht="15.75">
      <c r="A30" s="274" t="s">
        <v>145</v>
      </c>
      <c r="B30" s="275"/>
      <c r="C30" s="275"/>
      <c r="D30" s="275"/>
      <c r="E30" s="275"/>
      <c r="F30" s="275"/>
      <c r="G30" s="275"/>
      <c r="H30" s="275"/>
      <c r="I30" s="275"/>
      <c r="J30" s="275"/>
    </row>
    <row r="31" spans="1:10" ht="15.75">
      <c r="A31" s="274" t="s">
        <v>146</v>
      </c>
      <c r="B31" s="275"/>
      <c r="C31" s="275"/>
      <c r="D31" s="275"/>
      <c r="E31" s="275"/>
      <c r="F31" s="275"/>
      <c r="G31" s="275"/>
      <c r="H31" s="275"/>
      <c r="I31" s="275"/>
      <c r="J31" s="275"/>
    </row>
    <row r="32" spans="1:10" ht="15.75">
      <c r="A32" s="274" t="s">
        <v>147</v>
      </c>
      <c r="B32" s="275"/>
      <c r="C32" s="275"/>
      <c r="D32" s="275"/>
      <c r="E32" s="275"/>
      <c r="F32" s="275"/>
      <c r="G32" s="275"/>
      <c r="H32" s="275"/>
      <c r="I32" s="275"/>
      <c r="J32" s="275"/>
    </row>
    <row r="33" spans="1:10" ht="15.75">
      <c r="A33" s="274" t="s">
        <v>148</v>
      </c>
      <c r="B33" s="275"/>
      <c r="C33" s="275"/>
      <c r="D33" s="275"/>
      <c r="E33" s="275"/>
      <c r="F33" s="275"/>
      <c r="G33" s="275"/>
      <c r="H33" s="275"/>
      <c r="I33" s="275"/>
      <c r="J33" s="275"/>
    </row>
  </sheetData>
  <mergeCells count="3">
    <mergeCell ref="A1:H1"/>
    <mergeCell ref="A10:B10"/>
    <mergeCell ref="A16:G16"/>
  </mergeCells>
  <phoneticPr fontId="14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17005-32D9-4BDA-98D3-0F973339AA5B}">
  <dimension ref="A1:M38"/>
  <sheetViews>
    <sheetView workbookViewId="0">
      <selection activeCell="L1" sqref="L1"/>
    </sheetView>
  </sheetViews>
  <sheetFormatPr defaultRowHeight="15"/>
  <cols>
    <col min="1" max="1" width="5.140625" style="85" customWidth="1"/>
    <col min="2" max="2" width="10.85546875" style="85" customWidth="1"/>
    <col min="3" max="3" width="16.85546875" style="85" customWidth="1"/>
    <col min="4" max="4" width="11.5703125" style="85" customWidth="1"/>
    <col min="5" max="5" width="9.140625" style="85"/>
    <col min="6" max="6" width="8.5703125" style="85" customWidth="1"/>
    <col min="7" max="7" width="9.140625" style="85"/>
    <col min="8" max="8" width="10.140625" style="85" customWidth="1"/>
    <col min="9" max="16384" width="9.140625" style="85"/>
  </cols>
  <sheetData>
    <row r="1" spans="1:13" ht="15.75">
      <c r="A1" s="1075"/>
      <c r="B1" s="1075"/>
      <c r="C1" s="1075"/>
      <c r="D1" s="1075"/>
      <c r="E1" s="1075"/>
      <c r="F1" s="1075"/>
      <c r="G1" s="1075"/>
      <c r="H1" s="1075"/>
      <c r="L1" s="886" t="s">
        <v>1991</v>
      </c>
      <c r="M1" s="145"/>
    </row>
    <row r="2" spans="1:13">
      <c r="A2" s="1076" t="s">
        <v>149</v>
      </c>
      <c r="B2" s="1076"/>
      <c r="C2" s="1076"/>
      <c r="D2" s="1076"/>
      <c r="E2" s="1076"/>
      <c r="F2" s="1076"/>
      <c r="G2" s="1076"/>
      <c r="H2" s="1076"/>
    </row>
    <row r="3" spans="1:13">
      <c r="A3" s="92" t="s">
        <v>1073</v>
      </c>
      <c r="B3" s="92" t="s">
        <v>150</v>
      </c>
      <c r="C3" s="92" t="s">
        <v>151</v>
      </c>
      <c r="D3" s="92" t="s">
        <v>132</v>
      </c>
      <c r="E3" s="92" t="s">
        <v>152</v>
      </c>
      <c r="F3" s="92" t="s">
        <v>153</v>
      </c>
      <c r="G3" s="92" t="s">
        <v>154</v>
      </c>
      <c r="H3" s="92" t="s">
        <v>155</v>
      </c>
    </row>
    <row r="4" spans="1:13">
      <c r="A4" s="97">
        <v>1</v>
      </c>
      <c r="B4" s="98" t="s">
        <v>156</v>
      </c>
      <c r="C4" s="93" t="str">
        <f>VLOOKUP(LEFT(B4,1)&amp;RIGHT(B4,2),$B$17:$E$20,2,0)</f>
        <v>§Üa mÒm 1.2Mb</v>
      </c>
      <c r="D4" s="662">
        <v>36136</v>
      </c>
      <c r="E4" s="93" t="str">
        <f>VLOOKUP(LEFT(B4,1)&amp;RIGHT(B4,2),$B$17:$E$20,3,0)</f>
        <v xml:space="preserve">Thïng </v>
      </c>
      <c r="F4" s="97">
        <v>5</v>
      </c>
      <c r="G4" s="93">
        <f>VLOOKUP(LEFT(B4,1)&amp;RIGHT(B4,2),$B$17:$E$20,4,0)</f>
        <v>120</v>
      </c>
      <c r="H4" s="94">
        <f>F4*G4</f>
        <v>600</v>
      </c>
    </row>
    <row r="5" spans="1:13">
      <c r="A5" s="97">
        <v>5</v>
      </c>
      <c r="B5" s="98" t="s">
        <v>157</v>
      </c>
      <c r="C5" s="93" t="str">
        <f t="shared" ref="C5:C13" si="0">VLOOKUP(LEFT(B5,1)&amp;RIGHT(B5,2),$B$17:$E$20,2,0)</f>
        <v>§Üa CD 740Mb</v>
      </c>
      <c r="D5" s="662">
        <v>36136</v>
      </c>
      <c r="E5" s="93" t="str">
        <f t="shared" ref="E5:E13" si="1">VLOOKUP(LEFT(B5,1)&amp;RIGHT(B5,2),$B$17:$E$20,3,0)</f>
        <v xml:space="preserve">Thïng </v>
      </c>
      <c r="F5" s="97">
        <v>5</v>
      </c>
      <c r="G5" s="93">
        <f t="shared" ref="G5:G13" si="2">VLOOKUP(LEFT(B5,1)&amp;RIGHT(B5,2),$B$17:$E$20,4,0)</f>
        <v>200</v>
      </c>
      <c r="H5" s="94">
        <f t="shared" ref="H5:H13" si="3">F5*G5</f>
        <v>1000</v>
      </c>
    </row>
    <row r="6" spans="1:13">
      <c r="A6" s="97">
        <v>3</v>
      </c>
      <c r="B6" s="98" t="s">
        <v>157</v>
      </c>
      <c r="C6" s="93" t="str">
        <f t="shared" si="0"/>
        <v>§Üa CD 740Mb</v>
      </c>
      <c r="D6" s="662">
        <v>36137</v>
      </c>
      <c r="E6" s="93" t="str">
        <f t="shared" si="1"/>
        <v xml:space="preserve">Thïng </v>
      </c>
      <c r="F6" s="97">
        <v>12</v>
      </c>
      <c r="G6" s="93">
        <f t="shared" si="2"/>
        <v>200</v>
      </c>
      <c r="H6" s="94">
        <f t="shared" si="3"/>
        <v>2400</v>
      </c>
    </row>
    <row r="7" spans="1:13">
      <c r="A7" s="97">
        <v>4</v>
      </c>
      <c r="B7" s="98" t="s">
        <v>158</v>
      </c>
      <c r="C7" s="93" t="str">
        <f t="shared" si="0"/>
        <v>§Üa mÒm 1.4Mb</v>
      </c>
      <c r="D7" s="662">
        <v>36138</v>
      </c>
      <c r="E7" s="93" t="str">
        <f t="shared" si="1"/>
        <v xml:space="preserve">Thïng </v>
      </c>
      <c r="F7" s="97">
        <v>7</v>
      </c>
      <c r="G7" s="93">
        <f t="shared" si="2"/>
        <v>140</v>
      </c>
      <c r="H7" s="94">
        <f t="shared" si="3"/>
        <v>980</v>
      </c>
    </row>
    <row r="8" spans="1:13">
      <c r="A8" s="97">
        <v>2</v>
      </c>
      <c r="B8" s="98" t="s">
        <v>156</v>
      </c>
      <c r="C8" s="93" t="str">
        <f t="shared" si="0"/>
        <v>§Üa mÒm 1.2Mb</v>
      </c>
      <c r="D8" s="662">
        <v>36139</v>
      </c>
      <c r="E8" s="93" t="str">
        <f t="shared" si="1"/>
        <v xml:space="preserve">Thïng </v>
      </c>
      <c r="F8" s="97">
        <v>6</v>
      </c>
      <c r="G8" s="93">
        <f t="shared" si="2"/>
        <v>120</v>
      </c>
      <c r="H8" s="94">
        <f t="shared" si="3"/>
        <v>720</v>
      </c>
    </row>
    <row r="9" spans="1:13">
      <c r="A9" s="97">
        <v>7</v>
      </c>
      <c r="B9" s="98" t="s">
        <v>159</v>
      </c>
      <c r="C9" s="93" t="str">
        <f t="shared" si="0"/>
        <v>§Üa cøng 3.2Mb</v>
      </c>
      <c r="D9" s="662">
        <v>36140</v>
      </c>
      <c r="E9" s="93" t="str">
        <f t="shared" si="1"/>
        <v>C¸i</v>
      </c>
      <c r="F9" s="97">
        <v>3</v>
      </c>
      <c r="G9" s="93">
        <f t="shared" si="2"/>
        <v>125</v>
      </c>
      <c r="H9" s="94">
        <f t="shared" si="3"/>
        <v>375</v>
      </c>
    </row>
    <row r="10" spans="1:13">
      <c r="A10" s="97">
        <v>6</v>
      </c>
      <c r="B10" s="98" t="s">
        <v>159</v>
      </c>
      <c r="C10" s="93" t="str">
        <f t="shared" si="0"/>
        <v>§Üa cøng 3.2Mb</v>
      </c>
      <c r="D10" s="662">
        <v>36141</v>
      </c>
      <c r="E10" s="93" t="str">
        <f t="shared" si="1"/>
        <v>C¸i</v>
      </c>
      <c r="F10" s="97">
        <v>2</v>
      </c>
      <c r="G10" s="93">
        <f t="shared" si="2"/>
        <v>125</v>
      </c>
      <c r="H10" s="94">
        <f t="shared" si="3"/>
        <v>250</v>
      </c>
    </row>
    <row r="11" spans="1:13">
      <c r="A11" s="97">
        <v>8</v>
      </c>
      <c r="B11" s="98" t="s">
        <v>158</v>
      </c>
      <c r="C11" s="93" t="str">
        <f t="shared" si="0"/>
        <v>§Üa mÒm 1.4Mb</v>
      </c>
      <c r="D11" s="662">
        <v>36142</v>
      </c>
      <c r="E11" s="93" t="str">
        <f t="shared" si="1"/>
        <v xml:space="preserve">Thïng </v>
      </c>
      <c r="F11" s="97">
        <v>10</v>
      </c>
      <c r="G11" s="93">
        <f t="shared" si="2"/>
        <v>140</v>
      </c>
      <c r="H11" s="94">
        <f t="shared" si="3"/>
        <v>1400</v>
      </c>
    </row>
    <row r="12" spans="1:13">
      <c r="A12" s="97">
        <v>9</v>
      </c>
      <c r="B12" s="98" t="s">
        <v>157</v>
      </c>
      <c r="C12" s="93" t="str">
        <f t="shared" si="0"/>
        <v>§Üa CD 740Mb</v>
      </c>
      <c r="D12" s="662">
        <v>36143</v>
      </c>
      <c r="E12" s="93" t="str">
        <f t="shared" si="1"/>
        <v xml:space="preserve">Thïng </v>
      </c>
      <c r="F12" s="97">
        <v>4</v>
      </c>
      <c r="G12" s="93">
        <f t="shared" si="2"/>
        <v>200</v>
      </c>
      <c r="H12" s="94">
        <f t="shared" si="3"/>
        <v>800</v>
      </c>
    </row>
    <row r="13" spans="1:13">
      <c r="A13" s="97">
        <v>10</v>
      </c>
      <c r="B13" s="98" t="s">
        <v>156</v>
      </c>
      <c r="C13" s="93" t="str">
        <f t="shared" si="0"/>
        <v>§Üa mÒm 1.2Mb</v>
      </c>
      <c r="D13" s="662">
        <v>36143</v>
      </c>
      <c r="E13" s="93" t="str">
        <f t="shared" si="1"/>
        <v xml:space="preserve">Thïng </v>
      </c>
      <c r="F13" s="97">
        <v>20</v>
      </c>
      <c r="G13" s="93">
        <f t="shared" si="2"/>
        <v>120</v>
      </c>
      <c r="H13" s="94">
        <f t="shared" si="3"/>
        <v>2400</v>
      </c>
    </row>
    <row r="14" spans="1:13" ht="15.75">
      <c r="A14" s="1077" t="s">
        <v>160</v>
      </c>
      <c r="B14" s="1077"/>
      <c r="C14" s="1077"/>
      <c r="D14" s="1077"/>
      <c r="E14" s="1077"/>
      <c r="F14" s="1077"/>
      <c r="G14" s="1077"/>
      <c r="H14" s="95">
        <f>SUM(H4:H13)</f>
        <v>10925</v>
      </c>
    </row>
    <row r="15" spans="1:13">
      <c r="B15" s="1078" t="s">
        <v>161</v>
      </c>
      <c r="C15" s="1078"/>
      <c r="D15" s="1078"/>
      <c r="E15" s="1078"/>
    </row>
    <row r="16" spans="1:13">
      <c r="B16" s="92" t="s">
        <v>162</v>
      </c>
      <c r="C16" s="92" t="s">
        <v>163</v>
      </c>
      <c r="D16" s="92" t="s">
        <v>152</v>
      </c>
      <c r="E16" s="92" t="s">
        <v>154</v>
      </c>
    </row>
    <row r="17" spans="2:11">
      <c r="B17" s="93" t="s">
        <v>164</v>
      </c>
      <c r="C17" s="93" t="s">
        <v>165</v>
      </c>
      <c r="D17" s="93" t="s">
        <v>166</v>
      </c>
      <c r="E17" s="93">
        <v>140</v>
      </c>
    </row>
    <row r="18" spans="2:11">
      <c r="B18" s="93" t="s">
        <v>167</v>
      </c>
      <c r="C18" s="93" t="s">
        <v>168</v>
      </c>
      <c r="D18" s="93" t="s">
        <v>166</v>
      </c>
      <c r="E18" s="93">
        <v>120</v>
      </c>
    </row>
    <row r="19" spans="2:11">
      <c r="B19" s="93" t="s">
        <v>169</v>
      </c>
      <c r="C19" s="93" t="s">
        <v>170</v>
      </c>
      <c r="D19" s="93" t="s">
        <v>166</v>
      </c>
      <c r="E19" s="93">
        <v>200</v>
      </c>
    </row>
    <row r="20" spans="2:11">
      <c r="B20" s="93" t="s">
        <v>171</v>
      </c>
      <c r="C20" s="93" t="s">
        <v>172</v>
      </c>
      <c r="D20" s="93" t="s">
        <v>173</v>
      </c>
      <c r="E20" s="93">
        <v>125</v>
      </c>
    </row>
    <row r="21" spans="2:11">
      <c r="B21" s="1073" t="s">
        <v>174</v>
      </c>
      <c r="C21" s="1073"/>
      <c r="D21" s="1073"/>
    </row>
    <row r="22" spans="2:11">
      <c r="B22" s="92" t="s">
        <v>175</v>
      </c>
      <c r="C22" s="92" t="s">
        <v>176</v>
      </c>
      <c r="D22" s="92" t="s">
        <v>177</v>
      </c>
      <c r="F22" s="92" t="s">
        <v>150</v>
      </c>
      <c r="G22" s="96" t="s">
        <v>150</v>
      </c>
      <c r="H22" s="92" t="s">
        <v>150</v>
      </c>
    </row>
    <row r="23" spans="2:11">
      <c r="B23" s="97">
        <f>DSUM(A3:H13,H3,F22:F24)</f>
        <v>6100</v>
      </c>
      <c r="C23" s="97">
        <f>DSUM(A3:H13,H3,G22:G23)</f>
        <v>625</v>
      </c>
      <c r="D23" s="97">
        <f>DSUM(A3:H13,H3,H22:H23)</f>
        <v>4200</v>
      </c>
      <c r="F23" s="98" t="s">
        <v>158</v>
      </c>
      <c r="G23" s="99" t="s">
        <v>159</v>
      </c>
      <c r="H23" s="97" t="s">
        <v>157</v>
      </c>
    </row>
    <row r="24" spans="2:11">
      <c r="B24" s="85" t="s">
        <v>178</v>
      </c>
      <c r="F24" s="98" t="s">
        <v>156</v>
      </c>
    </row>
    <row r="26" spans="2:11">
      <c r="B26" s="1074" t="s">
        <v>174</v>
      </c>
      <c r="C26" s="1074"/>
      <c r="D26" s="1074"/>
    </row>
    <row r="27" spans="2:11">
      <c r="B27" s="92" t="s">
        <v>175</v>
      </c>
      <c r="C27" s="92" t="s">
        <v>176</v>
      </c>
      <c r="D27" s="92" t="s">
        <v>177</v>
      </c>
    </row>
    <row r="28" spans="2:11">
      <c r="B28" s="97">
        <f>SUMIF(B4:B13,"SD1M4",H4:H13)+SUMIF(B4:B13,"SD1M2",H4:H13)</f>
        <v>6100</v>
      </c>
      <c r="C28" s="97">
        <f>SUMIF(B4:B13,"HDM64",H4:H13)</f>
        <v>625</v>
      </c>
      <c r="D28" s="97">
        <f>SUMIF(B4:B13,"CDM74",H4:H13)</f>
        <v>4200</v>
      </c>
    </row>
    <row r="29" spans="2:11" s="663" customFormat="1"/>
    <row r="30" spans="2:11">
      <c r="B30" s="85" t="s">
        <v>179</v>
      </c>
    </row>
    <row r="31" spans="2:11" ht="15.75">
      <c r="B31" s="664" t="s">
        <v>180</v>
      </c>
      <c r="C31" s="665"/>
      <c r="D31" s="665"/>
      <c r="E31" s="665"/>
      <c r="F31" s="665"/>
      <c r="G31" s="665"/>
      <c r="H31" s="665"/>
      <c r="I31" s="665"/>
      <c r="J31" s="665"/>
      <c r="K31" s="665"/>
    </row>
    <row r="32" spans="2:11" ht="15.75">
      <c r="B32" s="664" t="s">
        <v>137</v>
      </c>
      <c r="C32" s="665"/>
      <c r="D32" s="665"/>
      <c r="E32" s="665"/>
      <c r="F32" s="665"/>
      <c r="G32" s="665"/>
      <c r="H32" s="665"/>
      <c r="I32" s="665"/>
      <c r="J32" s="665"/>
      <c r="K32" s="665"/>
    </row>
    <row r="33" spans="2:11" ht="15.75">
      <c r="B33" s="664" t="s">
        <v>181</v>
      </c>
      <c r="C33" s="665"/>
      <c r="D33" s="665"/>
      <c r="E33" s="665"/>
      <c r="F33" s="665"/>
      <c r="G33" s="665"/>
      <c r="H33" s="665"/>
      <c r="I33" s="665"/>
      <c r="J33" s="665"/>
      <c r="K33" s="665"/>
    </row>
    <row r="34" spans="2:11" ht="15.75">
      <c r="B34" s="664" t="s">
        <v>182</v>
      </c>
      <c r="C34" s="665"/>
      <c r="D34" s="665"/>
      <c r="E34" s="665"/>
      <c r="F34" s="665"/>
      <c r="G34" s="665"/>
      <c r="H34" s="665"/>
      <c r="I34" s="665"/>
      <c r="J34" s="665"/>
      <c r="K34" s="665"/>
    </row>
    <row r="35" spans="2:11" ht="15.75">
      <c r="B35" s="664" t="s">
        <v>183</v>
      </c>
      <c r="C35" s="665"/>
      <c r="D35" s="665"/>
      <c r="E35" s="665"/>
      <c r="F35" s="665"/>
      <c r="G35" s="665"/>
      <c r="H35" s="665"/>
      <c r="I35" s="665"/>
      <c r="J35" s="665"/>
      <c r="K35" s="665"/>
    </row>
    <row r="36" spans="2:11" ht="15.75">
      <c r="B36" s="664" t="s">
        <v>184</v>
      </c>
      <c r="C36" s="665"/>
      <c r="D36" s="665"/>
      <c r="E36" s="665"/>
      <c r="F36" s="665"/>
      <c r="G36" s="665"/>
      <c r="H36" s="665"/>
      <c r="I36" s="665"/>
      <c r="J36" s="665"/>
      <c r="K36" s="665"/>
    </row>
    <row r="37" spans="2:11" ht="15.75">
      <c r="B37" s="664" t="s">
        <v>185</v>
      </c>
      <c r="C37" s="665"/>
      <c r="D37" s="665"/>
      <c r="E37" s="665"/>
      <c r="F37" s="665"/>
      <c r="G37" s="665"/>
      <c r="H37" s="665"/>
      <c r="I37" s="665"/>
      <c r="J37" s="665"/>
      <c r="K37" s="665"/>
    </row>
    <row r="38" spans="2:11" ht="15.75">
      <c r="B38" s="665" t="s">
        <v>186</v>
      </c>
      <c r="C38" s="665"/>
      <c r="D38" s="665"/>
      <c r="E38" s="665"/>
      <c r="F38" s="665"/>
      <c r="G38" s="665"/>
      <c r="H38" s="665"/>
      <c r="I38" s="665"/>
      <c r="J38" s="665"/>
      <c r="K38" s="665"/>
    </row>
  </sheetData>
  <mergeCells count="6">
    <mergeCell ref="B21:D21"/>
    <mergeCell ref="B26:D26"/>
    <mergeCell ref="A1:H1"/>
    <mergeCell ref="A2:H2"/>
    <mergeCell ref="A14:G14"/>
    <mergeCell ref="B15:E15"/>
  </mergeCells>
  <phoneticPr fontId="141" type="noConversion"/>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B2159-0C2B-4817-9864-050CB1FB6095}">
  <dimension ref="A1:J29"/>
  <sheetViews>
    <sheetView workbookViewId="0">
      <selection activeCell="B1" sqref="B1"/>
    </sheetView>
  </sheetViews>
  <sheetFormatPr defaultRowHeight="12.75"/>
  <cols>
    <col min="2" max="2" width="5.140625" customWidth="1"/>
    <col min="3" max="3" width="17.7109375" customWidth="1"/>
    <col min="4" max="4" width="12.5703125" customWidth="1"/>
    <col min="5" max="5" width="6.140625" customWidth="1"/>
    <col min="6" max="6" width="13.42578125" customWidth="1"/>
    <col min="7" max="7" width="9" customWidth="1"/>
    <col min="8" max="8" width="8.5703125" customWidth="1"/>
    <col min="9" max="9" width="9" customWidth="1"/>
    <col min="10" max="10" width="10.5703125" customWidth="1"/>
  </cols>
  <sheetData>
    <row r="1" spans="1:10" ht="18.75">
      <c r="A1" s="135"/>
      <c r="B1" s="915" t="s">
        <v>1991</v>
      </c>
      <c r="C1" s="145"/>
      <c r="D1" s="892"/>
      <c r="E1" s="892"/>
      <c r="F1" s="1081"/>
      <c r="G1" s="1081"/>
      <c r="H1" s="1081"/>
      <c r="I1" s="1081"/>
      <c r="J1" s="1081"/>
    </row>
    <row r="2" spans="1:10" s="6" customFormat="1" ht="47.25">
      <c r="A2" s="893"/>
      <c r="B2" s="891" t="s">
        <v>1073</v>
      </c>
      <c r="C2" s="890" t="s">
        <v>273</v>
      </c>
      <c r="D2" s="889" t="s">
        <v>1763</v>
      </c>
      <c r="E2" s="889" t="s">
        <v>1762</v>
      </c>
      <c r="F2" s="887" t="s">
        <v>1761</v>
      </c>
      <c r="G2" s="887" t="s">
        <v>1764</v>
      </c>
      <c r="H2" s="887" t="s">
        <v>274</v>
      </c>
      <c r="I2" s="887" t="s">
        <v>1765</v>
      </c>
      <c r="J2" s="887" t="s">
        <v>1766</v>
      </c>
    </row>
    <row r="3" spans="1:10" ht="15.75">
      <c r="A3" s="135"/>
      <c r="B3" s="636">
        <v>1</v>
      </c>
      <c r="C3" s="894" t="s">
        <v>275</v>
      </c>
      <c r="D3" s="896">
        <v>50000</v>
      </c>
      <c r="E3" s="894">
        <v>26</v>
      </c>
      <c r="F3" s="888">
        <f t="shared" ref="F3:F12" si="0">D3*E3</f>
        <v>1300000</v>
      </c>
      <c r="G3" s="636" t="s">
        <v>1016</v>
      </c>
      <c r="H3" s="637">
        <f>IF(E3&gt;=25,F3*20%,IF(E3&gt;=22,F3*10%,0))</f>
        <v>260000</v>
      </c>
      <c r="I3" s="638">
        <f>IF(G3="GĐ",250000,IF(G3="PGĐ",200000,IF(G3="TP",180000,150000)))</f>
        <v>250000</v>
      </c>
      <c r="J3" s="639">
        <f t="shared" ref="J3:J12" si="1">F3+H3+I3</f>
        <v>1810000</v>
      </c>
    </row>
    <row r="4" spans="1:10" ht="15.75">
      <c r="A4" s="135"/>
      <c r="B4" s="636">
        <v>2</v>
      </c>
      <c r="C4" s="894" t="s">
        <v>276</v>
      </c>
      <c r="D4" s="896">
        <v>45000</v>
      </c>
      <c r="E4" s="894">
        <v>23</v>
      </c>
      <c r="F4" s="888">
        <f t="shared" si="0"/>
        <v>1035000</v>
      </c>
      <c r="G4" s="636" t="s">
        <v>1017</v>
      </c>
      <c r="H4" s="637">
        <f t="shared" ref="H4:H12" si="2">IF(E4&gt;=25,F4*20%,IF(E4&gt;=22,F4*10%,0))</f>
        <v>103500</v>
      </c>
      <c r="I4" s="638">
        <f t="shared" ref="I4:I12" si="3">IF(G4="GĐ",250000,IF(G4="PGĐ",200000,IF(G4="TP",180000,150000)))</f>
        <v>200000</v>
      </c>
      <c r="J4" s="639">
        <f t="shared" si="1"/>
        <v>1338500</v>
      </c>
    </row>
    <row r="5" spans="1:10" ht="15.75">
      <c r="A5" s="135"/>
      <c r="B5" s="636">
        <v>3</v>
      </c>
      <c r="C5" s="894" t="s">
        <v>277</v>
      </c>
      <c r="D5" s="896">
        <v>40000</v>
      </c>
      <c r="E5" s="894">
        <v>25</v>
      </c>
      <c r="F5" s="888">
        <f t="shared" si="0"/>
        <v>1000000</v>
      </c>
      <c r="G5" s="636" t="s">
        <v>1017</v>
      </c>
      <c r="H5" s="637">
        <f t="shared" si="2"/>
        <v>200000</v>
      </c>
      <c r="I5" s="638">
        <f t="shared" si="3"/>
        <v>200000</v>
      </c>
      <c r="J5" s="639">
        <f t="shared" si="1"/>
        <v>1400000</v>
      </c>
    </row>
    <row r="6" spans="1:10" ht="15.75">
      <c r="A6" s="135"/>
      <c r="B6" s="636">
        <v>4</v>
      </c>
      <c r="C6" s="894" t="s">
        <v>278</v>
      </c>
      <c r="D6" s="896">
        <v>37000</v>
      </c>
      <c r="E6" s="894">
        <v>26</v>
      </c>
      <c r="F6" s="888">
        <f t="shared" si="0"/>
        <v>962000</v>
      </c>
      <c r="G6" s="636" t="s">
        <v>1015</v>
      </c>
      <c r="H6" s="637">
        <f t="shared" si="2"/>
        <v>192400</v>
      </c>
      <c r="I6" s="638">
        <f t="shared" si="3"/>
        <v>180000</v>
      </c>
      <c r="J6" s="639">
        <f t="shared" si="1"/>
        <v>1334400</v>
      </c>
    </row>
    <row r="7" spans="1:10" ht="15.75">
      <c r="A7" s="135"/>
      <c r="B7" s="636">
        <v>5</v>
      </c>
      <c r="C7" s="894" t="s">
        <v>279</v>
      </c>
      <c r="D7" s="896">
        <v>45000</v>
      </c>
      <c r="E7" s="894">
        <v>22</v>
      </c>
      <c r="F7" s="888">
        <f t="shared" si="0"/>
        <v>990000</v>
      </c>
      <c r="G7" s="636" t="s">
        <v>1013</v>
      </c>
      <c r="H7" s="637">
        <f t="shared" si="2"/>
        <v>99000</v>
      </c>
      <c r="I7" s="638">
        <f t="shared" si="3"/>
        <v>150000</v>
      </c>
      <c r="J7" s="639">
        <f t="shared" si="1"/>
        <v>1239000</v>
      </c>
    </row>
    <row r="8" spans="1:10" ht="15.75">
      <c r="A8" s="135"/>
      <c r="B8" s="636">
        <v>6</v>
      </c>
      <c r="C8" s="894" t="s">
        <v>1760</v>
      </c>
      <c r="D8" s="896">
        <v>40000</v>
      </c>
      <c r="E8" s="894">
        <v>20</v>
      </c>
      <c r="F8" s="888">
        <f t="shared" si="0"/>
        <v>800000</v>
      </c>
      <c r="G8" s="636" t="s">
        <v>1013</v>
      </c>
      <c r="H8" s="637">
        <f t="shared" si="2"/>
        <v>0</v>
      </c>
      <c r="I8" s="638">
        <f t="shared" si="3"/>
        <v>150000</v>
      </c>
      <c r="J8" s="639">
        <f t="shared" si="1"/>
        <v>950000</v>
      </c>
    </row>
    <row r="9" spans="1:10" ht="15.75">
      <c r="A9" s="135"/>
      <c r="B9" s="636">
        <v>7</v>
      </c>
      <c r="C9" s="894" t="s">
        <v>280</v>
      </c>
      <c r="D9" s="896">
        <v>37000</v>
      </c>
      <c r="E9" s="894">
        <v>18</v>
      </c>
      <c r="F9" s="888">
        <f t="shared" si="0"/>
        <v>666000</v>
      </c>
      <c r="G9" s="636" t="s">
        <v>1013</v>
      </c>
      <c r="H9" s="637">
        <f t="shared" si="2"/>
        <v>0</v>
      </c>
      <c r="I9" s="638">
        <f t="shared" si="3"/>
        <v>150000</v>
      </c>
      <c r="J9" s="639">
        <f t="shared" si="1"/>
        <v>816000</v>
      </c>
    </row>
    <row r="10" spans="1:10" ht="15.75">
      <c r="A10" s="135"/>
      <c r="B10" s="636">
        <v>8</v>
      </c>
      <c r="C10" s="894" t="s">
        <v>281</v>
      </c>
      <c r="D10" s="896">
        <v>50000</v>
      </c>
      <c r="E10" s="894">
        <v>25</v>
      </c>
      <c r="F10" s="888">
        <f t="shared" si="0"/>
        <v>1250000</v>
      </c>
      <c r="G10" s="636" t="s">
        <v>1015</v>
      </c>
      <c r="H10" s="637">
        <f t="shared" si="2"/>
        <v>250000</v>
      </c>
      <c r="I10" s="638">
        <f t="shared" si="3"/>
        <v>180000</v>
      </c>
      <c r="J10" s="639">
        <f t="shared" si="1"/>
        <v>1680000</v>
      </c>
    </row>
    <row r="11" spans="1:10" ht="15.75">
      <c r="A11" s="135"/>
      <c r="B11" s="636">
        <v>9</v>
      </c>
      <c r="C11" s="894" t="s">
        <v>1759</v>
      </c>
      <c r="D11" s="896">
        <v>50000</v>
      </c>
      <c r="E11" s="894">
        <v>26</v>
      </c>
      <c r="F11" s="888">
        <f t="shared" si="0"/>
        <v>1300000</v>
      </c>
      <c r="G11" s="636" t="s">
        <v>1013</v>
      </c>
      <c r="H11" s="637">
        <f t="shared" si="2"/>
        <v>260000</v>
      </c>
      <c r="I11" s="638">
        <f t="shared" si="3"/>
        <v>150000</v>
      </c>
      <c r="J11" s="639">
        <f t="shared" si="1"/>
        <v>1710000</v>
      </c>
    </row>
    <row r="12" spans="1:10" ht="15.75">
      <c r="A12" s="135"/>
      <c r="B12" s="636">
        <v>10</v>
      </c>
      <c r="C12" s="894" t="s">
        <v>282</v>
      </c>
      <c r="D12" s="896">
        <v>37000</v>
      </c>
      <c r="E12" s="894">
        <v>17</v>
      </c>
      <c r="F12" s="888">
        <f t="shared" si="0"/>
        <v>629000</v>
      </c>
      <c r="G12" s="636" t="s">
        <v>1013</v>
      </c>
      <c r="H12" s="637">
        <f t="shared" si="2"/>
        <v>0</v>
      </c>
      <c r="I12" s="638">
        <f t="shared" si="3"/>
        <v>150000</v>
      </c>
      <c r="J12" s="639">
        <f t="shared" si="1"/>
        <v>779000</v>
      </c>
    </row>
    <row r="13" spans="1:10" ht="15.75">
      <c r="A13" s="135"/>
      <c r="B13" s="135"/>
      <c r="C13" s="885"/>
      <c r="D13" s="895"/>
      <c r="E13" s="135"/>
      <c r="F13" s="135"/>
      <c r="G13" s="135"/>
      <c r="H13" s="135"/>
      <c r="I13" s="135"/>
      <c r="J13" s="135"/>
    </row>
    <row r="14" spans="1:10" ht="15.75" customHeight="1">
      <c r="A14" s="135"/>
      <c r="B14" s="135"/>
      <c r="C14" s="636" t="s">
        <v>283</v>
      </c>
      <c r="D14" s="897">
        <f>MAX(J3:J12)</f>
        <v>1810000</v>
      </c>
      <c r="E14" s="885"/>
      <c r="F14" s="1083" t="s">
        <v>284</v>
      </c>
      <c r="G14" s="1083"/>
      <c r="H14" s="1083"/>
      <c r="I14" s="1083"/>
      <c r="J14" s="640">
        <f>COUNTIF(E3:E12,"&gt;22")</f>
        <v>6</v>
      </c>
    </row>
    <row r="15" spans="1:10" ht="15.75" customHeight="1">
      <c r="A15" s="135"/>
      <c r="B15" s="135"/>
      <c r="C15" s="636" t="s">
        <v>285</v>
      </c>
      <c r="D15" s="897">
        <f>AVERAGE(J3:J12)</f>
        <v>1305690</v>
      </c>
      <c r="E15" s="885"/>
      <c r="F15" s="1083" t="s">
        <v>286</v>
      </c>
      <c r="G15" s="1083"/>
      <c r="H15" s="1083"/>
      <c r="I15" s="1083"/>
      <c r="J15" s="640">
        <f>COUNTIF(J3:J12,"&gt;1000000")</f>
        <v>7</v>
      </c>
    </row>
    <row r="16" spans="1:10" ht="15.75" customHeight="1">
      <c r="A16" s="135"/>
      <c r="B16" s="135"/>
      <c r="C16" s="636" t="s">
        <v>287</v>
      </c>
      <c r="D16" s="897">
        <f>MIN(J3:J12)</f>
        <v>779000</v>
      </c>
      <c r="E16" s="885"/>
      <c r="F16" s="135"/>
      <c r="G16" s="135"/>
      <c r="H16" s="135"/>
      <c r="I16" s="135"/>
      <c r="J16" s="135"/>
    </row>
    <row r="17" spans="1:10" ht="15.75" customHeight="1">
      <c r="A17" s="1082" t="s">
        <v>1221</v>
      </c>
      <c r="B17" s="1082"/>
      <c r="C17" s="135"/>
      <c r="D17" s="135"/>
      <c r="E17" s="135"/>
      <c r="F17" s="135"/>
      <c r="G17" s="135"/>
      <c r="H17" s="135"/>
      <c r="I17" s="135"/>
      <c r="J17" s="135"/>
    </row>
    <row r="18" spans="1:10" ht="15.75" customHeight="1">
      <c r="A18" s="1080" t="s">
        <v>288</v>
      </c>
      <c r="B18" s="1080"/>
      <c r="C18" s="1080"/>
      <c r="D18" s="1080"/>
      <c r="E18" s="1080"/>
      <c r="F18" s="1080"/>
      <c r="G18" s="137"/>
      <c r="H18" s="137"/>
      <c r="I18" s="137"/>
      <c r="J18" s="135"/>
    </row>
    <row r="19" spans="1:10" ht="15.75" customHeight="1">
      <c r="A19" s="1080" t="s">
        <v>289</v>
      </c>
      <c r="B19" s="1080"/>
      <c r="C19" s="1080"/>
      <c r="D19" s="1080"/>
      <c r="E19" s="1080"/>
      <c r="F19" s="1080"/>
      <c r="G19" s="1080"/>
      <c r="H19" s="1080"/>
      <c r="I19" s="1080"/>
      <c r="J19" s="135"/>
    </row>
    <row r="20" spans="1:10" ht="15.75" customHeight="1">
      <c r="A20" s="137"/>
      <c r="B20" s="1080" t="s">
        <v>290</v>
      </c>
      <c r="C20" s="1080"/>
      <c r="D20" s="1080"/>
      <c r="E20" s="1080"/>
      <c r="F20" s="1080"/>
      <c r="G20" s="1080"/>
      <c r="H20" s="137"/>
      <c r="I20" s="137"/>
      <c r="J20" s="135"/>
    </row>
    <row r="21" spans="1:10" ht="15.75" customHeight="1">
      <c r="A21" s="137"/>
      <c r="B21" s="1080" t="s">
        <v>291</v>
      </c>
      <c r="C21" s="1080"/>
      <c r="D21" s="1080"/>
      <c r="E21" s="1080"/>
      <c r="F21" s="1080"/>
      <c r="G21" s="1080"/>
      <c r="H21" s="137"/>
      <c r="I21" s="137"/>
      <c r="J21" s="135"/>
    </row>
    <row r="22" spans="1:10" ht="15.75" customHeight="1">
      <c r="A22" s="137"/>
      <c r="B22" s="1080" t="s">
        <v>292</v>
      </c>
      <c r="C22" s="1080"/>
      <c r="D22" s="1080"/>
      <c r="E22" s="1080"/>
      <c r="F22" s="1080"/>
      <c r="G22" s="137"/>
      <c r="H22" s="137"/>
      <c r="I22" s="137"/>
      <c r="J22" s="135"/>
    </row>
    <row r="23" spans="1:10" ht="15.75" customHeight="1">
      <c r="A23" s="1079" t="s">
        <v>293</v>
      </c>
      <c r="B23" s="1079"/>
      <c r="C23" s="1079"/>
      <c r="D23" s="1079"/>
      <c r="E23" s="1079"/>
      <c r="F23" s="1079"/>
      <c r="G23" s="1079"/>
      <c r="H23" s="136"/>
      <c r="I23" s="136"/>
      <c r="J23" s="135"/>
    </row>
    <row r="24" spans="1:10" ht="15.75" customHeight="1">
      <c r="A24" s="1080" t="s">
        <v>294</v>
      </c>
      <c r="B24" s="1080"/>
      <c r="C24" s="1080"/>
      <c r="D24" s="1080"/>
      <c r="E24" s="1080"/>
      <c r="F24" s="1080"/>
      <c r="G24" s="1080"/>
      <c r="H24" s="137"/>
      <c r="I24" s="137"/>
      <c r="J24" s="135"/>
    </row>
    <row r="25" spans="1:10" ht="15.75" customHeight="1">
      <c r="A25" s="137"/>
      <c r="B25" s="1080" t="s">
        <v>295</v>
      </c>
      <c r="C25" s="1080"/>
      <c r="D25" s="1080"/>
      <c r="E25" s="1080"/>
      <c r="F25" s="1080"/>
      <c r="G25" s="1080"/>
      <c r="H25" s="1080"/>
      <c r="I25" s="1080"/>
      <c r="J25" s="135"/>
    </row>
    <row r="26" spans="1:10" ht="15.75" customHeight="1">
      <c r="A26" s="1080" t="s">
        <v>296</v>
      </c>
      <c r="B26" s="1080"/>
      <c r="C26" s="1080"/>
      <c r="D26" s="1080"/>
      <c r="E26" s="1080"/>
      <c r="F26" s="1080"/>
      <c r="G26" s="1080"/>
      <c r="H26" s="137"/>
      <c r="I26" s="137"/>
      <c r="J26" s="135"/>
    </row>
    <row r="27" spans="1:10" ht="15.75" customHeight="1">
      <c r="A27" s="603" t="s">
        <v>297</v>
      </c>
      <c r="B27" s="601"/>
      <c r="C27" s="601"/>
      <c r="D27" s="601"/>
      <c r="E27" s="601"/>
      <c r="F27" s="601"/>
      <c r="G27" s="601"/>
      <c r="H27" s="601"/>
      <c r="I27" s="601"/>
      <c r="J27" s="602"/>
    </row>
    <row r="28" spans="1:10" ht="15.75" customHeight="1">
      <c r="A28" s="603" t="s">
        <v>1767</v>
      </c>
      <c r="B28" s="601"/>
      <c r="C28" s="601"/>
      <c r="D28" s="601"/>
      <c r="E28" s="601"/>
      <c r="F28" s="601"/>
      <c r="G28" s="601"/>
      <c r="H28" s="601"/>
      <c r="I28" s="601"/>
      <c r="J28" s="602"/>
    </row>
    <row r="29" spans="1:10" ht="15.75" customHeight="1">
      <c r="A29" s="1079" t="s">
        <v>298</v>
      </c>
      <c r="B29" s="1079"/>
      <c r="C29" s="1079"/>
      <c r="D29" s="136"/>
      <c r="E29" s="136"/>
      <c r="F29" s="136"/>
      <c r="G29" s="136"/>
      <c r="H29" s="136"/>
      <c r="I29" s="136"/>
      <c r="J29" s="135"/>
    </row>
  </sheetData>
  <mergeCells count="14">
    <mergeCell ref="F1:J1"/>
    <mergeCell ref="A24:G24"/>
    <mergeCell ref="B25:I25"/>
    <mergeCell ref="A26:G26"/>
    <mergeCell ref="A17:B17"/>
    <mergeCell ref="F14:I14"/>
    <mergeCell ref="F15:I15"/>
    <mergeCell ref="A29:C29"/>
    <mergeCell ref="A18:F18"/>
    <mergeCell ref="A19:I19"/>
    <mergeCell ref="B20:G20"/>
    <mergeCell ref="B21:G21"/>
    <mergeCell ref="B22:F22"/>
    <mergeCell ref="A23:G23"/>
  </mergeCells>
  <phoneticPr fontId="141" type="noConversion"/>
  <hyperlinks>
    <hyperlink ref="B1" r:id="rId1" xr:uid="{3551A296-7FF4-48CE-9E57-8892CAE1FB44}"/>
  </hyperlinks>
  <pageMargins left="0.7" right="0.7" top="0.75" bottom="0.75"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CDC5-A4F3-48D4-846D-423D3036EF56}">
  <dimension ref="A1:V69"/>
  <sheetViews>
    <sheetView topLeftCell="C1" workbookViewId="0">
      <selection activeCell="P1" sqref="P1"/>
    </sheetView>
  </sheetViews>
  <sheetFormatPr defaultRowHeight="12.75"/>
  <cols>
    <col min="1" max="1" width="11.85546875" customWidth="1"/>
    <col min="2" max="2" width="12.7109375" customWidth="1"/>
    <col min="3" max="3" width="14.42578125" customWidth="1"/>
    <col min="4" max="4" width="11.5703125" customWidth="1"/>
    <col min="5" max="5" width="11.28515625" customWidth="1"/>
    <col min="6" max="6" width="10.85546875" customWidth="1"/>
    <col min="7" max="7" width="8.85546875" customWidth="1"/>
    <col min="8" max="8" width="12.7109375" customWidth="1"/>
    <col min="9" max="9" width="12.5703125" bestFit="1" customWidth="1"/>
    <col min="10" max="10" width="13.140625" customWidth="1"/>
    <col min="11" max="11" width="0" hidden="1" customWidth="1"/>
    <col min="12" max="12" width="11.28515625" customWidth="1"/>
    <col min="13" max="13" width="10.42578125" customWidth="1"/>
    <col min="14" max="14" width="11" customWidth="1"/>
    <col min="15" max="15" width="10" customWidth="1"/>
    <col min="16" max="16" width="20.28515625" customWidth="1"/>
  </cols>
  <sheetData>
    <row r="1" spans="1:22" ht="20.25">
      <c r="A1" s="1084" t="s">
        <v>188</v>
      </c>
      <c r="B1" s="1084"/>
      <c r="C1" s="1084"/>
      <c r="D1" s="1084"/>
      <c r="E1" s="1084"/>
      <c r="F1" s="1084"/>
      <c r="G1" s="1084"/>
      <c r="H1" s="1084"/>
      <c r="I1" s="1084"/>
      <c r="J1" s="1084"/>
      <c r="K1" s="1084"/>
      <c r="L1" s="1084"/>
      <c r="M1" s="1084"/>
      <c r="N1" s="1084"/>
      <c r="O1" s="104"/>
      <c r="P1" s="104" t="s">
        <v>1991</v>
      </c>
      <c r="Q1" s="104"/>
      <c r="R1" s="104"/>
      <c r="S1" s="104"/>
      <c r="T1" s="104"/>
      <c r="U1" s="104"/>
      <c r="V1" s="104"/>
    </row>
    <row r="2" spans="1:22" ht="15.75">
      <c r="A2" s="503" t="s">
        <v>1073</v>
      </c>
      <c r="B2" s="503" t="s">
        <v>189</v>
      </c>
      <c r="C2" s="503" t="s">
        <v>1380</v>
      </c>
      <c r="D2" s="503" t="s">
        <v>190</v>
      </c>
      <c r="E2" s="503" t="s">
        <v>1919</v>
      </c>
      <c r="F2" s="503" t="s">
        <v>1920</v>
      </c>
      <c r="G2" s="503" t="s">
        <v>191</v>
      </c>
      <c r="H2" s="503" t="s">
        <v>192</v>
      </c>
      <c r="I2" s="503" t="s">
        <v>193</v>
      </c>
      <c r="J2" s="503" t="s">
        <v>194</v>
      </c>
      <c r="K2" s="503" t="s">
        <v>195</v>
      </c>
      <c r="L2" s="503" t="s">
        <v>196</v>
      </c>
      <c r="M2" s="503" t="s">
        <v>197</v>
      </c>
      <c r="N2" s="503" t="s">
        <v>195</v>
      </c>
      <c r="O2" s="103"/>
      <c r="P2" s="115"/>
      <c r="Q2" s="104"/>
      <c r="R2" s="104"/>
      <c r="S2" s="104"/>
      <c r="T2" s="104"/>
      <c r="U2" s="104"/>
      <c r="V2" s="104"/>
    </row>
    <row r="3" spans="1:22" ht="15.75">
      <c r="A3" s="262">
        <v>1</v>
      </c>
      <c r="B3" s="255" t="s">
        <v>198</v>
      </c>
      <c r="C3" s="139" t="s">
        <v>1937</v>
      </c>
      <c r="D3" s="677">
        <v>36955</v>
      </c>
      <c r="E3" s="677">
        <v>36966</v>
      </c>
      <c r="F3" s="856">
        <f>((E3-D3)*HLOOKUP(RIGHT(C3,2),$B$22:$D$23,2,0))</f>
        <v>550000</v>
      </c>
      <c r="G3" s="856">
        <f>INT((E3-D3)/7)</f>
        <v>1</v>
      </c>
      <c r="H3" s="667">
        <f>VLOOKUP(LEFT(C3,3),$A$16:$C$19,2,0)</f>
        <v>260000</v>
      </c>
      <c r="I3" s="667">
        <f>MOD((E3-D3),7)</f>
        <v>4</v>
      </c>
      <c r="J3" s="667">
        <f>VLOOKUP(LEFT(C3,3),$A$16:$C$19,3,0)</f>
        <v>45000</v>
      </c>
      <c r="K3" s="667"/>
      <c r="L3" s="667">
        <f>(H3*G3)+(J3*I3)</f>
        <v>440000</v>
      </c>
      <c r="M3" s="667">
        <f>IF((E3-D3)&gt;=15,L3*5%,0)</f>
        <v>0</v>
      </c>
      <c r="N3" s="856">
        <f>(F3+L3)-M3</f>
        <v>990000</v>
      </c>
      <c r="O3" s="104"/>
      <c r="P3" s="104"/>
      <c r="Q3" s="104"/>
      <c r="R3" s="104"/>
      <c r="S3" s="104"/>
      <c r="T3" s="104"/>
      <c r="U3" s="104"/>
      <c r="V3" s="104"/>
    </row>
    <row r="4" spans="1:22" ht="15.75">
      <c r="A4" s="262">
        <v>2</v>
      </c>
      <c r="B4" s="255" t="s">
        <v>199</v>
      </c>
      <c r="C4" s="139" t="s">
        <v>200</v>
      </c>
      <c r="D4" s="677">
        <v>36956</v>
      </c>
      <c r="E4" s="677">
        <v>36970</v>
      </c>
      <c r="F4" s="856">
        <f t="shared" ref="F4:F12" si="0">((E4-D4)*HLOOKUP(RIGHT(C4,2),$B$22:$D$23,2,0))</f>
        <v>280000</v>
      </c>
      <c r="G4" s="856">
        <f t="shared" ref="G4:G12" si="1">INT((E4-D4)/7)</f>
        <v>2</v>
      </c>
      <c r="H4" s="667">
        <f t="shared" ref="H4:H12" si="2">VLOOKUP(LEFT(C4,3),$A$16:$C$19,2,0)</f>
        <v>210000</v>
      </c>
      <c r="I4" s="667">
        <f t="shared" ref="I4:I12" si="3">MOD((E4-D4),7)</f>
        <v>0</v>
      </c>
      <c r="J4" s="667">
        <f t="shared" ref="J4:J12" si="4">VLOOKUP(LEFT(C4,3),$A$16:$C$19,3,0)</f>
        <v>36000</v>
      </c>
      <c r="K4" s="667"/>
      <c r="L4" s="667">
        <f t="shared" ref="L4:L12" si="5">(H4*G4)+(J4*I4)</f>
        <v>420000</v>
      </c>
      <c r="M4" s="667">
        <f t="shared" ref="M4:M12" si="6">IF((E4-D4)&gt;=15,L4*5%,0)</f>
        <v>0</v>
      </c>
      <c r="N4" s="856">
        <f t="shared" ref="N4:N12" si="7">(F4+L4)-M4</f>
        <v>700000</v>
      </c>
      <c r="O4" s="104"/>
      <c r="P4" s="116"/>
      <c r="Q4" s="104"/>
      <c r="R4" s="104"/>
      <c r="S4" s="104"/>
      <c r="T4" s="104"/>
      <c r="U4" s="104"/>
      <c r="V4" s="104"/>
    </row>
    <row r="5" spans="1:22" ht="15.75">
      <c r="A5" s="262">
        <v>3</v>
      </c>
      <c r="B5" s="255" t="s">
        <v>201</v>
      </c>
      <c r="C5" s="139" t="s">
        <v>202</v>
      </c>
      <c r="D5" s="677">
        <v>36960</v>
      </c>
      <c r="E5" s="677">
        <v>36980</v>
      </c>
      <c r="F5" s="856">
        <f t="shared" si="0"/>
        <v>700000</v>
      </c>
      <c r="G5" s="856">
        <f t="shared" si="1"/>
        <v>2</v>
      </c>
      <c r="H5" s="667">
        <f t="shared" si="2"/>
        <v>260000</v>
      </c>
      <c r="I5" s="667">
        <f t="shared" si="3"/>
        <v>6</v>
      </c>
      <c r="J5" s="667">
        <f t="shared" si="4"/>
        <v>45000</v>
      </c>
      <c r="K5" s="667"/>
      <c r="L5" s="667">
        <f t="shared" si="5"/>
        <v>790000</v>
      </c>
      <c r="M5" s="667">
        <f t="shared" si="6"/>
        <v>39500</v>
      </c>
      <c r="N5" s="856">
        <f t="shared" si="7"/>
        <v>1450500</v>
      </c>
      <c r="O5" s="104"/>
      <c r="P5" s="104"/>
      <c r="Q5" s="104"/>
      <c r="R5" s="104"/>
      <c r="S5" s="104"/>
      <c r="T5" s="104"/>
      <c r="U5" s="104"/>
      <c r="V5" s="104"/>
    </row>
    <row r="6" spans="1:22" ht="15.75">
      <c r="A6" s="262">
        <v>4</v>
      </c>
      <c r="B6" s="255" t="s">
        <v>203</v>
      </c>
      <c r="C6" s="139" t="s">
        <v>200</v>
      </c>
      <c r="D6" s="677">
        <v>36973</v>
      </c>
      <c r="E6" s="677">
        <v>36982</v>
      </c>
      <c r="F6" s="856">
        <f t="shared" si="0"/>
        <v>180000</v>
      </c>
      <c r="G6" s="856">
        <f t="shared" si="1"/>
        <v>1</v>
      </c>
      <c r="H6" s="667">
        <f t="shared" si="2"/>
        <v>210000</v>
      </c>
      <c r="I6" s="667">
        <f t="shared" si="3"/>
        <v>2</v>
      </c>
      <c r="J6" s="667">
        <f t="shared" si="4"/>
        <v>36000</v>
      </c>
      <c r="K6" s="667"/>
      <c r="L6" s="667">
        <f t="shared" si="5"/>
        <v>282000</v>
      </c>
      <c r="M6" s="667">
        <f t="shared" si="6"/>
        <v>0</v>
      </c>
      <c r="N6" s="856">
        <f t="shared" si="7"/>
        <v>462000</v>
      </c>
      <c r="O6" s="104"/>
      <c r="P6" s="104"/>
      <c r="Q6" s="104"/>
      <c r="R6" s="104"/>
      <c r="S6" s="104"/>
      <c r="T6" s="104"/>
      <c r="U6" s="104"/>
      <c r="V6" s="104"/>
    </row>
    <row r="7" spans="1:22" ht="15.75">
      <c r="A7" s="262">
        <v>5</v>
      </c>
      <c r="B7" s="255" t="s">
        <v>204</v>
      </c>
      <c r="C7" s="139" t="s">
        <v>205</v>
      </c>
      <c r="D7" s="677">
        <v>36967</v>
      </c>
      <c r="E7" s="677">
        <v>37011</v>
      </c>
      <c r="F7" s="856">
        <f t="shared" si="0"/>
        <v>2200000</v>
      </c>
      <c r="G7" s="856">
        <f t="shared" si="1"/>
        <v>6</v>
      </c>
      <c r="H7" s="667">
        <f t="shared" si="2"/>
        <v>250000</v>
      </c>
      <c r="I7" s="667">
        <f t="shared" si="3"/>
        <v>2</v>
      </c>
      <c r="J7" s="667">
        <f t="shared" si="4"/>
        <v>40000</v>
      </c>
      <c r="K7" s="667"/>
      <c r="L7" s="667">
        <f t="shared" si="5"/>
        <v>1580000</v>
      </c>
      <c r="M7" s="667">
        <f t="shared" si="6"/>
        <v>79000</v>
      </c>
      <c r="N7" s="856">
        <f t="shared" si="7"/>
        <v>3701000</v>
      </c>
      <c r="O7" s="104"/>
      <c r="P7" s="104"/>
      <c r="Q7" s="104"/>
      <c r="R7" s="104"/>
      <c r="S7" s="104"/>
      <c r="T7" s="104"/>
      <c r="U7" s="104"/>
      <c r="V7" s="104"/>
    </row>
    <row r="8" spans="1:22" ht="15.75">
      <c r="A8" s="262">
        <v>6</v>
      </c>
      <c r="B8" s="255" t="s">
        <v>206</v>
      </c>
      <c r="C8" s="139" t="s">
        <v>1938</v>
      </c>
      <c r="D8" s="677">
        <v>36972</v>
      </c>
      <c r="E8" s="677">
        <v>36977</v>
      </c>
      <c r="F8" s="856">
        <f t="shared" si="0"/>
        <v>175000</v>
      </c>
      <c r="G8" s="856">
        <f t="shared" si="1"/>
        <v>0</v>
      </c>
      <c r="H8" s="667">
        <f t="shared" si="2"/>
        <v>190000</v>
      </c>
      <c r="I8" s="667">
        <f t="shared" si="3"/>
        <v>5</v>
      </c>
      <c r="J8" s="667">
        <f t="shared" si="4"/>
        <v>30000</v>
      </c>
      <c r="K8" s="667"/>
      <c r="L8" s="667">
        <f t="shared" si="5"/>
        <v>150000</v>
      </c>
      <c r="M8" s="667">
        <f t="shared" si="6"/>
        <v>0</v>
      </c>
      <c r="N8" s="856">
        <f t="shared" si="7"/>
        <v>325000</v>
      </c>
      <c r="O8" s="104"/>
      <c r="P8" s="104"/>
      <c r="Q8" s="104"/>
      <c r="R8" s="104"/>
      <c r="S8" s="104"/>
      <c r="T8" s="104"/>
      <c r="U8" s="104"/>
      <c r="V8" s="104"/>
    </row>
    <row r="9" spans="1:22" ht="15.75">
      <c r="A9" s="262">
        <v>7</v>
      </c>
      <c r="B9" s="255" t="s">
        <v>207</v>
      </c>
      <c r="C9" s="139" t="s">
        <v>1937</v>
      </c>
      <c r="D9" s="677">
        <v>36980</v>
      </c>
      <c r="E9" s="677">
        <v>37002</v>
      </c>
      <c r="F9" s="856">
        <f t="shared" si="0"/>
        <v>1100000</v>
      </c>
      <c r="G9" s="856">
        <f t="shared" si="1"/>
        <v>3</v>
      </c>
      <c r="H9" s="667">
        <f t="shared" si="2"/>
        <v>260000</v>
      </c>
      <c r="I9" s="667">
        <f t="shared" si="3"/>
        <v>1</v>
      </c>
      <c r="J9" s="667">
        <f t="shared" si="4"/>
        <v>45000</v>
      </c>
      <c r="K9" s="667"/>
      <c r="L9" s="667">
        <f t="shared" si="5"/>
        <v>825000</v>
      </c>
      <c r="M9" s="667">
        <f t="shared" si="6"/>
        <v>41250</v>
      </c>
      <c r="N9" s="856">
        <f t="shared" si="7"/>
        <v>1883750</v>
      </c>
      <c r="O9" s="104"/>
      <c r="P9" s="104"/>
      <c r="Q9" s="104"/>
      <c r="R9" s="104"/>
      <c r="S9" s="104"/>
      <c r="T9" s="104"/>
      <c r="U9" s="104"/>
      <c r="V9" s="104"/>
    </row>
    <row r="10" spans="1:22" ht="15.75">
      <c r="A10" s="262">
        <v>8</v>
      </c>
      <c r="B10" s="255" t="s">
        <v>208</v>
      </c>
      <c r="C10" s="139" t="s">
        <v>209</v>
      </c>
      <c r="D10" s="677">
        <v>36984</v>
      </c>
      <c r="E10" s="677">
        <v>37002</v>
      </c>
      <c r="F10" s="856">
        <f t="shared" si="0"/>
        <v>900000</v>
      </c>
      <c r="G10" s="856">
        <f t="shared" si="1"/>
        <v>2</v>
      </c>
      <c r="H10" s="667">
        <f t="shared" si="2"/>
        <v>190000</v>
      </c>
      <c r="I10" s="667">
        <f t="shared" si="3"/>
        <v>4</v>
      </c>
      <c r="J10" s="667">
        <f t="shared" si="4"/>
        <v>30000</v>
      </c>
      <c r="K10" s="667"/>
      <c r="L10" s="667">
        <f t="shared" si="5"/>
        <v>500000</v>
      </c>
      <c r="M10" s="667">
        <f t="shared" si="6"/>
        <v>25000</v>
      </c>
      <c r="N10" s="856">
        <f t="shared" si="7"/>
        <v>1375000</v>
      </c>
      <c r="O10" s="104"/>
      <c r="P10" s="104"/>
      <c r="Q10" s="104"/>
      <c r="R10" s="104"/>
      <c r="S10" s="104"/>
      <c r="T10" s="104"/>
      <c r="U10" s="104"/>
      <c r="V10" s="104"/>
    </row>
    <row r="11" spans="1:22" ht="15.75">
      <c r="A11" s="262">
        <v>9</v>
      </c>
      <c r="B11" s="255" t="s">
        <v>210</v>
      </c>
      <c r="C11" s="139" t="s">
        <v>211</v>
      </c>
      <c r="D11" s="677">
        <v>36986</v>
      </c>
      <c r="E11" s="677">
        <v>37023</v>
      </c>
      <c r="F11" s="856">
        <f t="shared" si="0"/>
        <v>740000</v>
      </c>
      <c r="G11" s="856">
        <f t="shared" si="1"/>
        <v>5</v>
      </c>
      <c r="H11" s="667">
        <f t="shared" si="2"/>
        <v>250000</v>
      </c>
      <c r="I11" s="667">
        <f t="shared" si="3"/>
        <v>2</v>
      </c>
      <c r="J11" s="667">
        <f t="shared" si="4"/>
        <v>40000</v>
      </c>
      <c r="K11" s="667"/>
      <c r="L11" s="667">
        <f t="shared" si="5"/>
        <v>1330000</v>
      </c>
      <c r="M11" s="667">
        <f t="shared" si="6"/>
        <v>66500</v>
      </c>
      <c r="N11" s="856">
        <f t="shared" si="7"/>
        <v>2003500</v>
      </c>
      <c r="O11" s="104"/>
      <c r="P11" s="104"/>
      <c r="Q11" s="104"/>
      <c r="R11" s="104"/>
      <c r="S11" s="104"/>
      <c r="T11" s="104"/>
      <c r="U11" s="104"/>
      <c r="V11" s="104"/>
    </row>
    <row r="12" spans="1:22" ht="15.75">
      <c r="A12" s="262">
        <v>10</v>
      </c>
      <c r="B12" s="255" t="s">
        <v>212</v>
      </c>
      <c r="C12" s="139" t="s">
        <v>50</v>
      </c>
      <c r="D12" s="677">
        <v>36993</v>
      </c>
      <c r="E12" s="677">
        <v>37008</v>
      </c>
      <c r="F12" s="856">
        <f t="shared" si="0"/>
        <v>525000</v>
      </c>
      <c r="G12" s="856">
        <f t="shared" si="1"/>
        <v>2</v>
      </c>
      <c r="H12" s="667">
        <f t="shared" si="2"/>
        <v>250000</v>
      </c>
      <c r="I12" s="667">
        <f t="shared" si="3"/>
        <v>1</v>
      </c>
      <c r="J12" s="667">
        <f t="shared" si="4"/>
        <v>40000</v>
      </c>
      <c r="K12" s="667"/>
      <c r="L12" s="667">
        <f t="shared" si="5"/>
        <v>540000</v>
      </c>
      <c r="M12" s="667">
        <f t="shared" si="6"/>
        <v>27000</v>
      </c>
      <c r="N12" s="856">
        <f t="shared" si="7"/>
        <v>1038000</v>
      </c>
      <c r="O12" s="104"/>
      <c r="P12" s="104"/>
      <c r="Q12" s="104"/>
      <c r="R12" s="104"/>
      <c r="S12" s="104"/>
      <c r="T12" s="104"/>
      <c r="U12" s="104"/>
      <c r="V12" s="104"/>
    </row>
    <row r="13" spans="1:22" ht="16.5" thickBot="1">
      <c r="A13" s="104"/>
      <c r="B13" s="104"/>
      <c r="C13" s="104"/>
      <c r="D13" s="104"/>
      <c r="E13" s="104"/>
      <c r="F13" s="104"/>
      <c r="G13" s="104"/>
      <c r="H13" s="104"/>
      <c r="I13" s="104"/>
      <c r="J13" s="104"/>
      <c r="K13" s="104"/>
      <c r="L13" s="104"/>
      <c r="M13" s="104"/>
      <c r="N13" s="104"/>
      <c r="O13" s="104"/>
      <c r="P13" s="104"/>
      <c r="Q13" s="104"/>
      <c r="R13" s="104"/>
      <c r="S13" s="104"/>
      <c r="T13" s="104"/>
      <c r="U13" s="104"/>
      <c r="V13" s="104"/>
    </row>
    <row r="14" spans="1:22" ht="16.5" thickTop="1">
      <c r="A14" s="857"/>
      <c r="B14" s="857" t="s">
        <v>213</v>
      </c>
      <c r="C14" s="857"/>
      <c r="D14" s="104"/>
      <c r="E14" s="104"/>
      <c r="F14" s="117" t="s">
        <v>1221</v>
      </c>
      <c r="G14" s="118"/>
      <c r="H14" s="118"/>
      <c r="I14" s="118"/>
      <c r="J14" s="118"/>
      <c r="K14" s="118"/>
      <c r="L14" s="118"/>
      <c r="M14" s="118"/>
      <c r="N14" s="118"/>
      <c r="O14" s="118"/>
      <c r="P14" s="119"/>
      <c r="Q14" s="104"/>
      <c r="R14" s="104"/>
      <c r="S14" s="104"/>
      <c r="T14" s="104"/>
      <c r="U14" s="104"/>
      <c r="V14" s="104"/>
    </row>
    <row r="15" spans="1:22" ht="15.75">
      <c r="A15" s="898" t="s">
        <v>1940</v>
      </c>
      <c r="B15" s="899" t="s">
        <v>192</v>
      </c>
      <c r="C15" s="899" t="s">
        <v>194</v>
      </c>
      <c r="D15" s="104"/>
      <c r="E15" s="104"/>
      <c r="F15" s="120" t="s">
        <v>214</v>
      </c>
      <c r="G15" s="121"/>
      <c r="H15" s="121"/>
      <c r="I15" s="122"/>
      <c r="J15" s="122"/>
      <c r="K15" s="122"/>
      <c r="L15" s="122"/>
      <c r="M15" s="122"/>
      <c r="N15" s="122"/>
      <c r="O15" s="122"/>
      <c r="P15" s="123"/>
      <c r="Q15" s="104"/>
      <c r="R15" s="104"/>
      <c r="S15" s="104"/>
      <c r="T15" s="104"/>
      <c r="U15" s="104"/>
      <c r="V15" s="104"/>
    </row>
    <row r="16" spans="1:22" ht="15.75">
      <c r="A16" s="858" t="s">
        <v>215</v>
      </c>
      <c r="B16" s="668">
        <v>260000</v>
      </c>
      <c r="C16" s="668">
        <v>45000</v>
      </c>
      <c r="D16" s="104"/>
      <c r="E16" s="104"/>
      <c r="F16" s="120" t="s">
        <v>216</v>
      </c>
      <c r="G16" s="122"/>
      <c r="H16" s="122"/>
      <c r="I16" s="121"/>
      <c r="J16" s="122"/>
      <c r="K16" s="121"/>
      <c r="L16" s="121"/>
      <c r="M16" s="121"/>
      <c r="N16" s="121"/>
      <c r="O16" s="121"/>
      <c r="P16" s="123"/>
      <c r="Q16" s="104"/>
      <c r="R16" s="104"/>
      <c r="S16" s="104"/>
      <c r="T16" s="104"/>
      <c r="U16" s="104"/>
      <c r="V16" s="104"/>
    </row>
    <row r="17" spans="1:22" ht="15.75">
      <c r="A17" s="858" t="s">
        <v>217</v>
      </c>
      <c r="B17" s="668">
        <v>250000</v>
      </c>
      <c r="C17" s="668">
        <v>40000</v>
      </c>
      <c r="D17" s="104"/>
      <c r="E17" s="104"/>
      <c r="F17" s="124" t="s">
        <v>218</v>
      </c>
      <c r="G17" s="122"/>
      <c r="H17" s="122"/>
      <c r="I17" s="122"/>
      <c r="J17" s="121"/>
      <c r="K17" s="122"/>
      <c r="L17" s="122"/>
      <c r="M17" s="122"/>
      <c r="N17" s="122"/>
      <c r="O17" s="122"/>
      <c r="P17" s="123"/>
      <c r="Q17" s="104"/>
      <c r="R17" s="104"/>
      <c r="S17" s="104"/>
      <c r="T17" s="104"/>
      <c r="U17" s="104"/>
      <c r="V17" s="104"/>
    </row>
    <row r="18" spans="1:22" ht="15.75">
      <c r="A18" s="858" t="s">
        <v>219</v>
      </c>
      <c r="B18" s="668">
        <v>210000</v>
      </c>
      <c r="C18" s="668">
        <v>36000</v>
      </c>
      <c r="D18" s="104"/>
      <c r="E18" s="104"/>
      <c r="F18" s="125" t="s">
        <v>220</v>
      </c>
      <c r="G18" s="126"/>
      <c r="H18" s="126"/>
      <c r="I18" s="126"/>
      <c r="J18" s="126"/>
      <c r="K18" s="126"/>
      <c r="L18" s="126"/>
      <c r="M18" s="126"/>
      <c r="N18" s="126"/>
      <c r="O18" s="122"/>
      <c r="P18" s="123"/>
      <c r="Q18" s="104"/>
      <c r="R18" s="104"/>
      <c r="S18" s="104"/>
      <c r="T18" s="104"/>
      <c r="U18" s="104"/>
      <c r="V18" s="104"/>
    </row>
    <row r="19" spans="1:22" ht="15.75">
      <c r="A19" s="858" t="s">
        <v>221</v>
      </c>
      <c r="B19" s="859">
        <v>190000</v>
      </c>
      <c r="C19" s="859">
        <v>30000</v>
      </c>
      <c r="D19" s="104"/>
      <c r="E19" s="104"/>
      <c r="F19" s="120" t="s">
        <v>222</v>
      </c>
      <c r="G19" s="122"/>
      <c r="H19" s="122"/>
      <c r="I19" s="122"/>
      <c r="J19" s="122"/>
      <c r="K19" s="122"/>
      <c r="L19" s="122"/>
      <c r="M19" s="122"/>
      <c r="N19" s="122"/>
      <c r="O19" s="122"/>
      <c r="P19" s="123"/>
      <c r="Q19" s="104"/>
      <c r="R19" s="104"/>
      <c r="S19" s="104"/>
      <c r="T19" s="104"/>
      <c r="U19" s="104"/>
      <c r="V19" s="104"/>
    </row>
    <row r="20" spans="1:22" ht="15.75">
      <c r="A20" s="104"/>
      <c r="B20" s="104"/>
      <c r="C20" s="104"/>
      <c r="D20" s="104"/>
      <c r="E20" s="104"/>
      <c r="F20" s="120" t="s">
        <v>223</v>
      </c>
      <c r="G20" s="122"/>
      <c r="H20" s="122"/>
      <c r="I20" s="122"/>
      <c r="J20" s="122"/>
      <c r="K20" s="122"/>
      <c r="L20" s="122"/>
      <c r="M20" s="122"/>
      <c r="N20" s="122"/>
      <c r="O20" s="122"/>
      <c r="P20" s="123"/>
      <c r="Q20" s="104"/>
      <c r="R20" s="104"/>
      <c r="S20" s="104"/>
      <c r="T20" s="104"/>
      <c r="U20" s="104"/>
      <c r="V20" s="104"/>
    </row>
    <row r="21" spans="1:22" ht="15.75">
      <c r="A21" s="1087" t="s">
        <v>224</v>
      </c>
      <c r="B21" s="1087"/>
      <c r="C21" s="1087"/>
      <c r="D21" s="1087"/>
      <c r="E21" s="104"/>
      <c r="F21" s="120" t="s">
        <v>225</v>
      </c>
      <c r="G21" s="122"/>
      <c r="H21" s="122"/>
      <c r="I21" s="122"/>
      <c r="J21" s="122"/>
      <c r="K21" s="122"/>
      <c r="L21" s="122"/>
      <c r="M21" s="122"/>
      <c r="N21" s="122"/>
      <c r="O21" s="122"/>
      <c r="P21" s="123"/>
      <c r="Q21" s="104"/>
      <c r="R21" s="104"/>
      <c r="S21" s="104"/>
      <c r="T21" s="104"/>
      <c r="U21" s="104"/>
      <c r="V21" s="104"/>
    </row>
    <row r="22" spans="1:22" ht="15.75">
      <c r="A22" s="860" t="s">
        <v>226</v>
      </c>
      <c r="B22" s="859" t="s">
        <v>1946</v>
      </c>
      <c r="C22" s="859" t="s">
        <v>1947</v>
      </c>
      <c r="D22" s="859" t="s">
        <v>1948</v>
      </c>
      <c r="E22" s="104"/>
      <c r="F22" s="120" t="s">
        <v>227</v>
      </c>
      <c r="G22" s="122"/>
      <c r="H22" s="122"/>
      <c r="I22" s="122"/>
      <c r="J22" s="122"/>
      <c r="K22" s="122"/>
      <c r="L22" s="122"/>
      <c r="M22" s="122"/>
      <c r="N22" s="122"/>
      <c r="O22" s="122"/>
      <c r="P22" s="123"/>
      <c r="Q22" s="104"/>
      <c r="R22" s="104"/>
      <c r="S22" s="104"/>
      <c r="T22" s="104"/>
      <c r="U22" s="104"/>
      <c r="V22" s="104"/>
    </row>
    <row r="23" spans="1:22" ht="15.75">
      <c r="A23" s="860" t="s">
        <v>1032</v>
      </c>
      <c r="B23" s="859">
        <v>20000</v>
      </c>
      <c r="C23" s="859">
        <v>35000</v>
      </c>
      <c r="D23" s="859">
        <v>50000</v>
      </c>
      <c r="E23" s="104"/>
      <c r="F23" s="120" t="s">
        <v>228</v>
      </c>
      <c r="G23" s="122"/>
      <c r="H23" s="122"/>
      <c r="I23" s="122"/>
      <c r="J23" s="122"/>
      <c r="K23" s="122"/>
      <c r="L23" s="122"/>
      <c r="M23" s="122"/>
      <c r="N23" s="122"/>
      <c r="O23" s="122"/>
      <c r="P23" s="123"/>
      <c r="Q23" s="104"/>
      <c r="R23" s="104"/>
      <c r="S23" s="104"/>
      <c r="T23" s="104"/>
      <c r="U23" s="104"/>
      <c r="V23" s="104"/>
    </row>
    <row r="24" spans="1:22" ht="15.75">
      <c r="A24" s="104"/>
      <c r="B24" s="104"/>
      <c r="C24" s="104"/>
      <c r="D24" s="104"/>
      <c r="E24" s="104"/>
      <c r="F24" s="120" t="s">
        <v>229</v>
      </c>
      <c r="G24" s="122"/>
      <c r="H24" s="122"/>
      <c r="I24" s="122"/>
      <c r="J24" s="122"/>
      <c r="K24" s="122"/>
      <c r="L24" s="122"/>
      <c r="M24" s="122"/>
      <c r="N24" s="122"/>
      <c r="O24" s="122"/>
      <c r="P24" s="123"/>
      <c r="Q24" s="104"/>
      <c r="R24" s="104"/>
      <c r="S24" s="104"/>
      <c r="T24" s="104"/>
      <c r="U24" s="104"/>
      <c r="V24" s="104"/>
    </row>
    <row r="25" spans="1:22" ht="15.75">
      <c r="A25" s="1088" t="s">
        <v>1185</v>
      </c>
      <c r="B25" s="1088"/>
      <c r="C25" s="104"/>
      <c r="D25" s="104"/>
      <c r="E25" s="104"/>
      <c r="F25" s="120" t="s">
        <v>230</v>
      </c>
      <c r="G25" s="122"/>
      <c r="H25" s="122"/>
      <c r="I25" s="122"/>
      <c r="J25" s="122"/>
      <c r="K25" s="122"/>
      <c r="L25" s="122"/>
      <c r="M25" s="122"/>
      <c r="N25" s="122"/>
      <c r="O25" s="122"/>
      <c r="P25" s="123"/>
      <c r="Q25" s="104"/>
      <c r="R25" s="104"/>
      <c r="S25" s="104"/>
      <c r="T25" s="104"/>
      <c r="U25" s="104"/>
      <c r="V25" s="104"/>
    </row>
    <row r="26" spans="1:22" ht="15.75">
      <c r="A26" s="899" t="s">
        <v>1940</v>
      </c>
      <c r="B26" s="899" t="s">
        <v>1892</v>
      </c>
      <c r="C26" s="104"/>
      <c r="D26" s="104"/>
      <c r="E26" s="104"/>
      <c r="F26" s="120" t="s">
        <v>231</v>
      </c>
      <c r="G26" s="122"/>
      <c r="H26" s="122"/>
      <c r="I26" s="122"/>
      <c r="J26" s="122"/>
      <c r="K26" s="122"/>
      <c r="L26" s="122"/>
      <c r="M26" s="122"/>
      <c r="N26" s="122"/>
      <c r="O26" s="122"/>
      <c r="P26" s="123"/>
      <c r="Q26" s="104"/>
      <c r="R26" s="104"/>
      <c r="S26" s="104"/>
      <c r="T26" s="104"/>
      <c r="U26" s="104"/>
      <c r="V26" s="104"/>
    </row>
    <row r="27" spans="1:22" ht="15.75">
      <c r="A27" s="667" t="s">
        <v>215</v>
      </c>
      <c r="B27" s="667">
        <f>SUMIF($C$3:$C$12,A27&amp;"*",$N$3:$N$12)</f>
        <v>4324250</v>
      </c>
      <c r="C27" s="104"/>
      <c r="D27" s="104"/>
      <c r="E27" s="104"/>
      <c r="F27" s="120" t="s">
        <v>232</v>
      </c>
      <c r="G27" s="122"/>
      <c r="H27" s="122"/>
      <c r="I27" s="122"/>
      <c r="J27" s="122"/>
      <c r="K27" s="122"/>
      <c r="L27" s="122"/>
      <c r="M27" s="122"/>
      <c r="N27" s="122"/>
      <c r="O27" s="122"/>
      <c r="P27" s="123"/>
      <c r="Q27" s="104"/>
      <c r="R27" s="104"/>
      <c r="S27" s="104"/>
      <c r="T27" s="104"/>
      <c r="U27" s="104"/>
      <c r="V27" s="104"/>
    </row>
    <row r="28" spans="1:22" ht="15.75">
      <c r="A28" s="667" t="s">
        <v>219</v>
      </c>
      <c r="B28" s="667">
        <f>SUMIF($C$3:$C$12,A28&amp;"*",$N$3:$N$12)</f>
        <v>1162000</v>
      </c>
      <c r="C28" s="104"/>
      <c r="D28" s="104"/>
      <c r="E28" s="104"/>
      <c r="F28" s="120" t="s">
        <v>233</v>
      </c>
      <c r="G28" s="122"/>
      <c r="H28" s="122"/>
      <c r="I28" s="122"/>
      <c r="J28" s="122"/>
      <c r="K28" s="122"/>
      <c r="L28" s="122"/>
      <c r="M28" s="122"/>
      <c r="N28" s="122"/>
      <c r="O28" s="122"/>
      <c r="P28" s="123"/>
      <c r="Q28" s="104"/>
      <c r="R28" s="104"/>
      <c r="S28" s="104"/>
      <c r="T28" s="104"/>
      <c r="U28" s="104"/>
      <c r="V28" s="104"/>
    </row>
    <row r="29" spans="1:22" ht="15.75">
      <c r="A29" s="667" t="s">
        <v>217</v>
      </c>
      <c r="B29" s="667">
        <f>SUMIF($C$3:$C$12,A29&amp;"*",$N$3:$N$12)</f>
        <v>6742500</v>
      </c>
      <c r="C29" s="104"/>
      <c r="D29" s="104"/>
      <c r="E29" s="104"/>
      <c r="F29" s="120" t="s">
        <v>234</v>
      </c>
      <c r="G29" s="122"/>
      <c r="H29" s="122"/>
      <c r="I29" s="122"/>
      <c r="J29" s="122"/>
      <c r="K29" s="122"/>
      <c r="L29" s="122"/>
      <c r="M29" s="122"/>
      <c r="N29" s="122"/>
      <c r="O29" s="122"/>
      <c r="P29" s="123"/>
      <c r="Q29" s="104"/>
      <c r="R29" s="104"/>
      <c r="S29" s="104"/>
      <c r="T29" s="104"/>
      <c r="U29" s="104"/>
      <c r="V29" s="104"/>
    </row>
    <row r="30" spans="1:22" ht="15.75">
      <c r="A30" s="667" t="s">
        <v>221</v>
      </c>
      <c r="B30" s="667">
        <f>SUMIF($C$3:$C$12,A30&amp;"*",$N$3:$N$12)</f>
        <v>1700000</v>
      </c>
      <c r="C30" s="104"/>
      <c r="D30" s="104"/>
      <c r="E30" s="104"/>
      <c r="F30" s="120" t="s">
        <v>235</v>
      </c>
      <c r="G30" s="122"/>
      <c r="H30" s="122"/>
      <c r="I30" s="122"/>
      <c r="J30" s="122"/>
      <c r="K30" s="122"/>
      <c r="L30" s="122"/>
      <c r="M30" s="122"/>
      <c r="N30" s="122"/>
      <c r="O30" s="122"/>
      <c r="P30" s="123"/>
      <c r="Q30" s="104"/>
      <c r="R30" s="104"/>
      <c r="S30" s="104"/>
      <c r="T30" s="104"/>
      <c r="U30" s="104"/>
      <c r="V30" s="104"/>
    </row>
    <row r="31" spans="1:22" ht="15.75">
      <c r="A31" s="104"/>
      <c r="B31" s="104"/>
      <c r="C31" s="104"/>
      <c r="D31" s="104"/>
      <c r="E31" s="104"/>
      <c r="F31" s="120" t="s">
        <v>236</v>
      </c>
      <c r="G31" s="122"/>
      <c r="H31" s="122"/>
      <c r="I31" s="122"/>
      <c r="J31" s="122"/>
      <c r="K31" s="122"/>
      <c r="L31" s="122"/>
      <c r="M31" s="122"/>
      <c r="N31" s="122"/>
      <c r="O31" s="122"/>
      <c r="P31" s="123"/>
      <c r="Q31" s="104"/>
      <c r="R31" s="104"/>
      <c r="S31" s="104"/>
      <c r="T31" s="104"/>
      <c r="U31" s="104"/>
      <c r="V31" s="104"/>
    </row>
    <row r="32" spans="1:22" ht="15.75">
      <c r="A32" s="104"/>
      <c r="B32" s="104"/>
      <c r="C32" s="104"/>
      <c r="D32" s="953"/>
      <c r="E32" s="1089"/>
      <c r="F32" s="120" t="s">
        <v>237</v>
      </c>
      <c r="G32" s="122"/>
      <c r="H32" s="122"/>
      <c r="I32" s="122"/>
      <c r="J32" s="122"/>
      <c r="K32" s="122"/>
      <c r="L32" s="122"/>
      <c r="M32" s="122"/>
      <c r="N32" s="122"/>
      <c r="O32" s="122"/>
      <c r="P32" s="123"/>
      <c r="Q32" s="104"/>
      <c r="R32" s="104"/>
      <c r="S32" s="104"/>
      <c r="T32" s="104"/>
      <c r="U32" s="104"/>
      <c r="V32" s="104"/>
    </row>
    <row r="33" spans="1:22" ht="16.5" thickBot="1">
      <c r="A33" s="104"/>
      <c r="B33" s="104"/>
      <c r="C33" s="104"/>
      <c r="D33" s="1085"/>
      <c r="E33" s="1086"/>
      <c r="F33" s="128" t="s">
        <v>238</v>
      </c>
      <c r="G33" s="129"/>
      <c r="H33" s="129"/>
      <c r="I33" s="129"/>
      <c r="J33" s="129"/>
      <c r="K33" s="129"/>
      <c r="L33" s="129"/>
      <c r="M33" s="129"/>
      <c r="N33" s="129"/>
      <c r="O33" s="129"/>
      <c r="P33" s="130"/>
      <c r="Q33" s="104"/>
      <c r="R33" s="104"/>
      <c r="S33" s="104"/>
      <c r="T33" s="104"/>
      <c r="U33" s="104"/>
      <c r="V33" s="104"/>
    </row>
    <row r="34" spans="1:22" ht="16.5" thickTop="1">
      <c r="A34" s="104"/>
      <c r="B34" s="104"/>
      <c r="C34" s="104"/>
      <c r="D34" s="104"/>
      <c r="E34" s="104"/>
      <c r="F34" s="104"/>
      <c r="G34" s="104"/>
      <c r="H34" s="131"/>
      <c r="I34" s="131"/>
      <c r="J34" s="104"/>
      <c r="K34" s="104"/>
      <c r="L34" s="104"/>
      <c r="M34" s="104"/>
      <c r="N34" s="104"/>
      <c r="O34" s="104"/>
      <c r="P34" s="104"/>
      <c r="Q34" s="104"/>
      <c r="R34" s="104"/>
      <c r="S34" s="104"/>
      <c r="T34" s="104"/>
      <c r="U34" s="104"/>
      <c r="V34" s="104"/>
    </row>
    <row r="35" spans="1:22" ht="15.75">
      <c r="C35" s="131"/>
      <c r="D35" s="131"/>
      <c r="E35" s="131"/>
      <c r="F35" s="131"/>
      <c r="G35" s="131"/>
      <c r="H35" s="131"/>
      <c r="I35" s="131"/>
      <c r="J35" s="104"/>
      <c r="K35" s="104"/>
      <c r="L35" s="104"/>
      <c r="M35" s="104"/>
      <c r="N35" s="104"/>
      <c r="O35" s="104"/>
      <c r="P35" s="104"/>
      <c r="Q35" s="104"/>
      <c r="R35" s="104"/>
      <c r="S35" s="104"/>
      <c r="T35" s="104"/>
      <c r="U35" s="104"/>
      <c r="V35" s="104"/>
    </row>
    <row r="36" spans="1:22" ht="15.75">
      <c r="C36" s="131"/>
      <c r="D36" s="131"/>
      <c r="E36" s="131"/>
      <c r="F36" s="131"/>
      <c r="G36" s="131"/>
      <c r="H36" s="131"/>
      <c r="I36" s="131"/>
      <c r="J36" s="104"/>
      <c r="K36" s="104"/>
      <c r="L36" s="104"/>
      <c r="M36" s="104"/>
      <c r="N36" s="104"/>
      <c r="O36" s="104"/>
      <c r="P36" s="104"/>
      <c r="Q36" s="104"/>
      <c r="R36" s="104"/>
      <c r="S36" s="104"/>
      <c r="T36" s="104"/>
      <c r="U36" s="104"/>
      <c r="V36" s="104"/>
    </row>
    <row r="37" spans="1:22" ht="15.75">
      <c r="C37" s="131"/>
      <c r="D37" s="131"/>
      <c r="E37" s="131"/>
      <c r="F37" s="131"/>
      <c r="G37" s="131"/>
      <c r="H37" s="131"/>
      <c r="I37" s="131"/>
      <c r="J37" s="104"/>
      <c r="K37" s="104"/>
      <c r="L37" s="104"/>
      <c r="M37" s="104"/>
      <c r="N37" s="104"/>
      <c r="O37" s="104"/>
      <c r="P37" s="104"/>
      <c r="Q37" s="104"/>
      <c r="R37" s="104"/>
      <c r="S37" s="104"/>
      <c r="T37" s="104"/>
      <c r="U37" s="104"/>
      <c r="V37" s="104"/>
    </row>
    <row r="38" spans="1:22" ht="15.75">
      <c r="C38" s="131"/>
      <c r="D38" s="131"/>
      <c r="E38" s="131"/>
      <c r="F38" s="131"/>
      <c r="G38" s="131"/>
      <c r="H38" s="131"/>
      <c r="I38" s="131"/>
      <c r="J38" s="104"/>
      <c r="K38" s="104"/>
      <c r="L38" s="104"/>
      <c r="M38" s="104"/>
      <c r="N38" s="104"/>
      <c r="O38" s="104"/>
      <c r="P38" s="104"/>
      <c r="Q38" s="104"/>
      <c r="R38" s="104"/>
      <c r="S38" s="104"/>
      <c r="T38" s="104"/>
      <c r="U38" s="104"/>
      <c r="V38" s="104"/>
    </row>
    <row r="39" spans="1:22" ht="15.75">
      <c r="S39" s="104"/>
      <c r="T39" s="104"/>
      <c r="U39" s="104"/>
      <c r="V39" s="104"/>
    </row>
    <row r="40" spans="1:22" ht="15.75">
      <c r="S40" s="104"/>
      <c r="T40" s="104"/>
      <c r="U40" s="104"/>
      <c r="V40" s="104"/>
    </row>
    <row r="41" spans="1:22" ht="15.75">
      <c r="S41" s="104"/>
      <c r="T41" s="104"/>
      <c r="U41" s="104"/>
      <c r="V41" s="104"/>
    </row>
    <row r="42" spans="1:22" ht="15.75">
      <c r="S42" s="104"/>
      <c r="T42" s="104"/>
      <c r="U42" s="104"/>
      <c r="V42" s="104"/>
    </row>
    <row r="43" spans="1:22" ht="15.75">
      <c r="S43" s="104"/>
      <c r="T43" s="104"/>
      <c r="U43" s="104"/>
      <c r="V43" s="104"/>
    </row>
    <row r="44" spans="1:22" ht="15.75">
      <c r="S44" s="104"/>
      <c r="T44" s="104"/>
      <c r="U44" s="104"/>
      <c r="V44" s="104"/>
    </row>
    <row r="45" spans="1:22" ht="15.75">
      <c r="S45" s="104"/>
      <c r="T45" s="104"/>
      <c r="U45" s="104"/>
      <c r="V45" s="104"/>
    </row>
    <row r="46" spans="1:22" ht="15.75">
      <c r="S46" s="104"/>
      <c r="T46" s="104"/>
      <c r="U46" s="104"/>
      <c r="V46" s="104"/>
    </row>
    <row r="47" spans="1:22" ht="15.75">
      <c r="S47" s="104"/>
      <c r="T47" s="104"/>
      <c r="U47" s="104"/>
      <c r="V47" s="104"/>
    </row>
    <row r="48" spans="1:22" ht="15.75">
      <c r="S48" s="104"/>
      <c r="T48" s="104"/>
      <c r="U48" s="104"/>
      <c r="V48" s="104"/>
    </row>
    <row r="49" spans="19:22" ht="15.75">
      <c r="S49" s="104"/>
      <c r="T49" s="104"/>
      <c r="U49" s="104"/>
      <c r="V49" s="104"/>
    </row>
    <row r="50" spans="19:22" ht="15.75">
      <c r="S50" s="104"/>
      <c r="T50" s="104"/>
      <c r="U50" s="104"/>
      <c r="V50" s="104"/>
    </row>
    <row r="51" spans="19:22" ht="15.75">
      <c r="S51" s="104"/>
      <c r="T51" s="104"/>
      <c r="U51" s="104"/>
      <c r="V51" s="104"/>
    </row>
    <row r="52" spans="19:22" ht="15.75">
      <c r="S52" s="104"/>
      <c r="T52" s="104"/>
      <c r="U52" s="104"/>
      <c r="V52" s="104"/>
    </row>
    <row r="53" spans="19:22" ht="15.75">
      <c r="S53" s="104"/>
      <c r="T53" s="104"/>
      <c r="U53" s="104"/>
      <c r="V53" s="104"/>
    </row>
    <row r="54" spans="19:22" ht="15.75">
      <c r="S54" s="104"/>
      <c r="T54" s="104"/>
      <c r="U54" s="104"/>
      <c r="V54" s="104"/>
    </row>
    <row r="55" spans="19:22" ht="15.75">
      <c r="S55" s="104"/>
      <c r="T55" s="104"/>
      <c r="U55" s="104"/>
      <c r="V55" s="104"/>
    </row>
    <row r="56" spans="19:22" ht="15.75">
      <c r="S56" s="104"/>
      <c r="T56" s="104"/>
      <c r="U56" s="104"/>
      <c r="V56" s="104"/>
    </row>
    <row r="57" spans="19:22" ht="15.75">
      <c r="S57" s="104"/>
      <c r="T57" s="104"/>
      <c r="U57" s="104"/>
      <c r="V57" s="104"/>
    </row>
    <row r="58" spans="19:22" ht="15.75">
      <c r="S58" s="104"/>
      <c r="T58" s="104"/>
      <c r="U58" s="104"/>
      <c r="V58" s="104"/>
    </row>
    <row r="59" spans="19:22" ht="15.75">
      <c r="S59" s="104"/>
      <c r="T59" s="104"/>
      <c r="U59" s="104"/>
      <c r="V59" s="104"/>
    </row>
    <row r="60" spans="19:22" ht="15.75">
      <c r="S60" s="104"/>
      <c r="T60" s="104"/>
      <c r="U60" s="104"/>
      <c r="V60" s="104"/>
    </row>
    <row r="61" spans="19:22" ht="15.75">
      <c r="S61" s="104"/>
      <c r="T61" s="104"/>
      <c r="U61" s="104"/>
      <c r="V61" s="104"/>
    </row>
    <row r="62" spans="19:22" ht="15.75">
      <c r="S62" s="104"/>
      <c r="T62" s="104"/>
      <c r="U62" s="104"/>
      <c r="V62" s="104"/>
    </row>
    <row r="63" spans="19:22" ht="15.75">
      <c r="S63" s="104"/>
      <c r="T63" s="104"/>
      <c r="U63" s="104"/>
      <c r="V63" s="104"/>
    </row>
    <row r="64" spans="19:22" ht="15.75">
      <c r="S64" s="104"/>
      <c r="T64" s="104"/>
      <c r="U64" s="104"/>
      <c r="V64" s="104"/>
    </row>
    <row r="65" spans="19:22" ht="15.75">
      <c r="S65" s="104"/>
      <c r="T65" s="104"/>
      <c r="U65" s="104"/>
      <c r="V65" s="104"/>
    </row>
    <row r="66" spans="19:22" ht="15.75">
      <c r="S66" s="104"/>
      <c r="T66" s="104"/>
      <c r="U66" s="104"/>
      <c r="V66" s="104"/>
    </row>
    <row r="67" spans="19:22" ht="15.75">
      <c r="S67" s="104"/>
      <c r="T67" s="104"/>
      <c r="U67" s="104"/>
      <c r="V67" s="104"/>
    </row>
    <row r="68" spans="19:22" ht="15.75">
      <c r="S68" s="104"/>
      <c r="T68" s="104"/>
      <c r="U68" s="104"/>
      <c r="V68" s="104"/>
    </row>
    <row r="69" spans="19:22" ht="15.75">
      <c r="S69" s="104"/>
      <c r="T69" s="104"/>
      <c r="U69" s="104"/>
      <c r="V69" s="104"/>
    </row>
  </sheetData>
  <mergeCells count="5">
    <mergeCell ref="A1:N1"/>
    <mergeCell ref="D33:E33"/>
    <mergeCell ref="A21:D21"/>
    <mergeCell ref="A25:B25"/>
    <mergeCell ref="D32:E32"/>
  </mergeCells>
  <phoneticPr fontId="14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F7C6-B5A0-40B6-B9E6-F44C19960BBD}">
  <dimension ref="A1:M23"/>
  <sheetViews>
    <sheetView workbookViewId="0">
      <selection activeCell="L1" sqref="L1"/>
    </sheetView>
  </sheetViews>
  <sheetFormatPr defaultRowHeight="12.75"/>
  <cols>
    <col min="2" max="2" width="26.28515625" bestFit="1" customWidth="1"/>
    <col min="6" max="6" width="14.140625" customWidth="1"/>
    <col min="7" max="7" width="15.42578125" customWidth="1"/>
    <col min="11" max="11" width="24.140625" style="132" customWidth="1"/>
  </cols>
  <sheetData>
    <row r="1" spans="1:13" ht="15.75">
      <c r="A1" s="1090" t="s">
        <v>239</v>
      </c>
      <c r="B1" s="1090"/>
      <c r="C1" s="1090"/>
      <c r="D1" s="1090"/>
      <c r="E1" s="1090"/>
      <c r="F1" s="1090"/>
      <c r="G1" s="1090"/>
      <c r="H1" s="1090"/>
      <c r="I1" s="1090"/>
      <c r="L1" s="886" t="s">
        <v>1991</v>
      </c>
      <c r="M1" s="145"/>
    </row>
    <row r="2" spans="1:13" ht="31.5">
      <c r="A2" s="262" t="s">
        <v>1380</v>
      </c>
      <c r="B2" s="262" t="s">
        <v>240</v>
      </c>
      <c r="C2" s="262" t="s">
        <v>241</v>
      </c>
      <c r="D2" s="262" t="s">
        <v>242</v>
      </c>
      <c r="E2" s="262" t="s">
        <v>243</v>
      </c>
      <c r="F2" s="262" t="s">
        <v>1080</v>
      </c>
      <c r="G2" s="666" t="s">
        <v>244</v>
      </c>
      <c r="H2" s="666" t="s">
        <v>1293</v>
      </c>
      <c r="I2" s="666" t="s">
        <v>245</v>
      </c>
    </row>
    <row r="3" spans="1:13" ht="15.75">
      <c r="A3" s="139" t="s">
        <v>1102</v>
      </c>
      <c r="B3" s="255" t="s">
        <v>246</v>
      </c>
      <c r="C3" s="255">
        <v>7</v>
      </c>
      <c r="D3" s="255">
        <v>7</v>
      </c>
      <c r="E3" s="255">
        <v>6</v>
      </c>
      <c r="F3" s="255">
        <f>(C3+D3+E3*2)/4</f>
        <v>6.5</v>
      </c>
      <c r="G3" s="667">
        <f>VLOOKUP(LEFT(A3,1),$A$14:$B$16,2,0)</f>
        <v>0.5</v>
      </c>
      <c r="H3" s="667">
        <f>(F3+G3)</f>
        <v>7</v>
      </c>
      <c r="I3" s="667" t="str">
        <f>IF(F3&gt;=8,"GIỎI",IF(F3&gt;=6,"KHÁ",IF(F3&gt;=5,"TRUNG BÌNH","YẾU")))</f>
        <v>KHÁ</v>
      </c>
    </row>
    <row r="4" spans="1:13" ht="15.75">
      <c r="A4" s="139" t="s">
        <v>38</v>
      </c>
      <c r="B4" s="255" t="s">
        <v>247</v>
      </c>
      <c r="C4" s="255">
        <v>9</v>
      </c>
      <c r="D4" s="255">
        <v>8</v>
      </c>
      <c r="E4" s="255">
        <v>9</v>
      </c>
      <c r="F4" s="255">
        <f t="shared" ref="F4:F10" si="0">(C4+D4+E4*2)/4</f>
        <v>8.75</v>
      </c>
      <c r="G4" s="667">
        <f t="shared" ref="G4:G10" si="1">VLOOKUP(LEFT(A4,1),$A$14:$B$16,2,0)</f>
        <v>0.5</v>
      </c>
      <c r="H4" s="667">
        <f t="shared" ref="H4:H10" si="2">(F4+G4)</f>
        <v>9.25</v>
      </c>
      <c r="I4" s="667" t="str">
        <f t="shared" ref="I4:I10" si="3">IF(F4&gt;=8,"GIỎI",IF(F4&gt;=6,"KHÁ",IF(F4&gt;=5,"TRUNG BÌNH","YẾU")))</f>
        <v>GIỎI</v>
      </c>
    </row>
    <row r="5" spans="1:13" ht="15.75">
      <c r="A5" s="139" t="s">
        <v>248</v>
      </c>
      <c r="B5" s="255" t="s">
        <v>249</v>
      </c>
      <c r="C5" s="255">
        <v>8</v>
      </c>
      <c r="D5" s="255">
        <v>6</v>
      </c>
      <c r="E5" s="255">
        <v>6</v>
      </c>
      <c r="F5" s="255">
        <f t="shared" si="0"/>
        <v>6.5</v>
      </c>
      <c r="G5" s="667">
        <f t="shared" si="1"/>
        <v>1</v>
      </c>
      <c r="H5" s="667">
        <f t="shared" si="2"/>
        <v>7.5</v>
      </c>
      <c r="I5" s="667" t="str">
        <f t="shared" si="3"/>
        <v>KHÁ</v>
      </c>
    </row>
    <row r="6" spans="1:13" ht="15.75">
      <c r="A6" s="139" t="s">
        <v>250</v>
      </c>
      <c r="B6" s="255" t="s">
        <v>251</v>
      </c>
      <c r="C6" s="255">
        <v>8</v>
      </c>
      <c r="D6" s="255">
        <v>7</v>
      </c>
      <c r="E6" s="255">
        <v>5</v>
      </c>
      <c r="F6" s="255">
        <f t="shared" si="0"/>
        <v>6.25</v>
      </c>
      <c r="G6" s="667">
        <f t="shared" si="1"/>
        <v>0.5</v>
      </c>
      <c r="H6" s="667">
        <f t="shared" si="2"/>
        <v>6.75</v>
      </c>
      <c r="I6" s="667" t="str">
        <f t="shared" si="3"/>
        <v>KHÁ</v>
      </c>
    </row>
    <row r="7" spans="1:13" ht="15.75">
      <c r="A7" s="139" t="s">
        <v>252</v>
      </c>
      <c r="B7" s="255" t="s">
        <v>253</v>
      </c>
      <c r="C7" s="255">
        <v>10</v>
      </c>
      <c r="D7" s="255">
        <v>8</v>
      </c>
      <c r="E7" s="255">
        <v>6</v>
      </c>
      <c r="F7" s="255">
        <f t="shared" si="0"/>
        <v>7.5</v>
      </c>
      <c r="G7" s="667">
        <f t="shared" si="1"/>
        <v>1</v>
      </c>
      <c r="H7" s="667">
        <f t="shared" si="2"/>
        <v>8.5</v>
      </c>
      <c r="I7" s="667" t="str">
        <f t="shared" si="3"/>
        <v>KHÁ</v>
      </c>
    </row>
    <row r="8" spans="1:13" ht="15.75">
      <c r="A8" s="139" t="s">
        <v>254</v>
      </c>
      <c r="B8" s="255" t="s">
        <v>255</v>
      </c>
      <c r="C8" s="255">
        <v>5</v>
      </c>
      <c r="D8" s="255">
        <v>4</v>
      </c>
      <c r="E8" s="255">
        <v>2</v>
      </c>
      <c r="F8" s="255">
        <f t="shared" si="0"/>
        <v>3.25</v>
      </c>
      <c r="G8" s="667">
        <f t="shared" si="1"/>
        <v>2</v>
      </c>
      <c r="H8" s="667">
        <f t="shared" si="2"/>
        <v>5.25</v>
      </c>
      <c r="I8" s="667" t="str">
        <f t="shared" si="3"/>
        <v>YẾU</v>
      </c>
    </row>
    <row r="9" spans="1:13" ht="15.75">
      <c r="A9" s="139" t="s">
        <v>256</v>
      </c>
      <c r="B9" s="255" t="s">
        <v>257</v>
      </c>
      <c r="C9" s="255">
        <v>10</v>
      </c>
      <c r="D9" s="255">
        <v>7</v>
      </c>
      <c r="E9" s="255">
        <v>7</v>
      </c>
      <c r="F9" s="255">
        <f t="shared" si="0"/>
        <v>7.75</v>
      </c>
      <c r="G9" s="667">
        <f t="shared" si="1"/>
        <v>2</v>
      </c>
      <c r="H9" s="667">
        <f t="shared" si="2"/>
        <v>9.75</v>
      </c>
      <c r="I9" s="667" t="str">
        <f t="shared" si="3"/>
        <v>KHÁ</v>
      </c>
    </row>
    <row r="10" spans="1:13" ht="15.75">
      <c r="A10" s="139" t="s">
        <v>258</v>
      </c>
      <c r="B10" s="255" t="s">
        <v>259</v>
      </c>
      <c r="C10" s="255">
        <v>9</v>
      </c>
      <c r="D10" s="255">
        <v>8</v>
      </c>
      <c r="E10" s="255">
        <v>6</v>
      </c>
      <c r="F10" s="255">
        <f t="shared" si="0"/>
        <v>7.25</v>
      </c>
      <c r="G10" s="667">
        <f t="shared" si="1"/>
        <v>0.5</v>
      </c>
      <c r="H10" s="667">
        <f t="shared" si="2"/>
        <v>7.75</v>
      </c>
      <c r="I10" s="667" t="str">
        <f t="shared" si="3"/>
        <v>KHÁ</v>
      </c>
    </row>
    <row r="11" spans="1:13" ht="15.75">
      <c r="A11" s="104"/>
      <c r="B11" s="133"/>
      <c r="C11" s="104"/>
      <c r="D11" s="104"/>
      <c r="E11" s="104"/>
      <c r="F11" s="104"/>
      <c r="G11" s="104"/>
      <c r="H11" s="104"/>
      <c r="I11" s="104"/>
    </row>
    <row r="12" spans="1:13" ht="15.75">
      <c r="A12" s="1091" t="s">
        <v>260</v>
      </c>
      <c r="B12" s="1092"/>
      <c r="C12" s="104"/>
      <c r="D12" s="104"/>
      <c r="E12" s="669" t="s">
        <v>261</v>
      </c>
      <c r="F12" s="669"/>
      <c r="G12" s="669">
        <f>COUNTIF($F$3:$F$10,"&gt;=5")</f>
        <v>7</v>
      </c>
      <c r="H12" s="104"/>
    </row>
    <row r="13" spans="1:13" ht="15.75">
      <c r="A13" s="139" t="s">
        <v>1380</v>
      </c>
      <c r="B13" s="255" t="s">
        <v>262</v>
      </c>
      <c r="C13" s="104"/>
      <c r="D13" s="104"/>
      <c r="E13" s="669" t="s">
        <v>263</v>
      </c>
      <c r="F13" s="669"/>
      <c r="G13" s="669">
        <f>COUNTIF($F$3:$F$10,"&lt;5")</f>
        <v>1</v>
      </c>
      <c r="H13" s="104"/>
    </row>
    <row r="14" spans="1:13" ht="15.75">
      <c r="A14" s="668" t="s">
        <v>1383</v>
      </c>
      <c r="B14" s="667">
        <v>0.5</v>
      </c>
      <c r="C14" s="104"/>
      <c r="D14" s="104"/>
      <c r="E14" s="669" t="s">
        <v>264</v>
      </c>
      <c r="F14" s="669"/>
      <c r="G14" s="669">
        <f>COUNTIF($F$3:$F$10,"&gt;8")</f>
        <v>1</v>
      </c>
      <c r="H14" s="104"/>
    </row>
    <row r="15" spans="1:13" ht="15.75">
      <c r="A15" s="668" t="s">
        <v>1218</v>
      </c>
      <c r="B15" s="667">
        <v>1</v>
      </c>
      <c r="C15" s="104"/>
      <c r="D15" s="104"/>
      <c r="E15" s="669" t="s">
        <v>265</v>
      </c>
      <c r="F15" s="669"/>
      <c r="G15" s="669">
        <f>MIN(F3:F10)</f>
        <v>3.25</v>
      </c>
      <c r="H15" s="104"/>
    </row>
    <row r="16" spans="1:13" ht="15.75">
      <c r="A16" s="668" t="s">
        <v>1381</v>
      </c>
      <c r="B16" s="667">
        <v>2</v>
      </c>
      <c r="C16" s="104"/>
      <c r="D16" s="104"/>
      <c r="E16" s="669" t="s">
        <v>266</v>
      </c>
      <c r="F16" s="669"/>
      <c r="G16" s="669">
        <f>MAX(F3:F10)</f>
        <v>8.75</v>
      </c>
      <c r="H16" s="104"/>
    </row>
    <row r="17" spans="1:9" ht="15.75">
      <c r="A17" s="104"/>
      <c r="B17" s="104"/>
      <c r="C17" s="104"/>
      <c r="D17" s="104"/>
      <c r="E17" s="104"/>
      <c r="F17" s="104"/>
      <c r="G17" s="104"/>
      <c r="H17" s="104"/>
      <c r="I17" s="104"/>
    </row>
    <row r="18" spans="1:9" ht="15.75">
      <c r="A18" s="134" t="s">
        <v>267</v>
      </c>
      <c r="B18" s="134"/>
      <c r="C18" s="134"/>
      <c r="D18" s="134"/>
      <c r="E18" s="134"/>
      <c r="F18" s="134"/>
      <c r="G18" s="104"/>
      <c r="H18" s="104"/>
      <c r="I18" s="104"/>
    </row>
    <row r="19" spans="1:9" ht="15.75" customHeight="1">
      <c r="A19" s="134" t="s">
        <v>268</v>
      </c>
      <c r="B19" s="134"/>
      <c r="C19" s="134"/>
      <c r="D19" s="134"/>
      <c r="E19" s="134"/>
      <c r="F19" s="134"/>
      <c r="G19" s="104"/>
      <c r="H19" s="104"/>
      <c r="I19" s="104"/>
    </row>
    <row r="20" spans="1:9" ht="15.75">
      <c r="A20" s="134" t="s">
        <v>269</v>
      </c>
      <c r="B20" s="134"/>
      <c r="C20" s="134"/>
      <c r="D20" s="134"/>
      <c r="E20" s="134"/>
      <c r="F20" s="134"/>
      <c r="G20" s="104"/>
      <c r="H20" s="104"/>
      <c r="I20" s="104"/>
    </row>
    <row r="21" spans="1:9" ht="15.75" customHeight="1">
      <c r="A21" s="134" t="s">
        <v>270</v>
      </c>
      <c r="B21" s="134"/>
      <c r="C21" s="134"/>
      <c r="D21" s="134"/>
      <c r="E21" s="134"/>
      <c r="F21" s="134"/>
      <c r="G21" s="104"/>
      <c r="H21" s="104"/>
      <c r="I21" s="104"/>
    </row>
    <row r="22" spans="1:9" ht="15.75">
      <c r="A22" s="134" t="s">
        <v>271</v>
      </c>
      <c r="B22" s="134"/>
      <c r="C22" s="134"/>
      <c r="D22" s="134"/>
      <c r="E22" s="134"/>
      <c r="F22" s="134"/>
      <c r="G22" s="104"/>
    </row>
    <row r="23" spans="1:9" ht="15.75">
      <c r="A23" s="134" t="s">
        <v>272</v>
      </c>
      <c r="B23" s="134"/>
      <c r="C23" s="134"/>
      <c r="D23" s="134"/>
      <c r="E23" s="134"/>
      <c r="F23" s="134"/>
      <c r="G23" s="104"/>
    </row>
  </sheetData>
  <mergeCells count="2">
    <mergeCell ref="A1:I1"/>
    <mergeCell ref="A12:B12"/>
  </mergeCells>
  <phoneticPr fontId="14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332E5-8125-458D-B404-81F0E38EF711}">
  <dimension ref="A1:P18"/>
  <sheetViews>
    <sheetView workbookViewId="0">
      <selection activeCell="O1" sqref="O1"/>
    </sheetView>
  </sheetViews>
  <sheetFormatPr defaultRowHeight="15.75"/>
  <cols>
    <col min="1" max="1" width="5.42578125" style="104" customWidth="1"/>
    <col min="2" max="2" width="14.85546875" style="104" bestFit="1" customWidth="1"/>
    <col min="3" max="3" width="8.85546875" style="104" customWidth="1"/>
    <col min="4" max="4" width="11.140625" style="104" bestFit="1" customWidth="1"/>
    <col min="5" max="5" width="5.140625" style="104" customWidth="1"/>
    <col min="6" max="6" width="10.28515625" style="104" bestFit="1" customWidth="1"/>
    <col min="7" max="7" width="12" style="104" bestFit="1" customWidth="1"/>
    <col min="8" max="8" width="10.42578125" style="104" bestFit="1" customWidth="1"/>
    <col min="9" max="9" width="9.140625" style="104"/>
    <col min="10" max="10" width="14.28515625" style="104" customWidth="1"/>
    <col min="11" max="16384" width="9.140625" style="104"/>
  </cols>
  <sheetData>
    <row r="1" spans="1:16" s="114" customFormat="1">
      <c r="A1" s="1093" t="s">
        <v>304</v>
      </c>
      <c r="B1" s="1093"/>
      <c r="C1" s="1093"/>
      <c r="D1" s="1093"/>
      <c r="E1" s="1093"/>
      <c r="F1" s="1093"/>
      <c r="G1" s="1093"/>
      <c r="H1" s="1093"/>
      <c r="O1" s="886" t="s">
        <v>1991</v>
      </c>
      <c r="P1" s="145"/>
    </row>
    <row r="2" spans="1:16" s="127" customFormat="1">
      <c r="A2" s="143" t="s">
        <v>1073</v>
      </c>
      <c r="B2" s="143" t="s">
        <v>305</v>
      </c>
      <c r="C2" s="143" t="s">
        <v>306</v>
      </c>
      <c r="D2" s="143" t="s">
        <v>307</v>
      </c>
      <c r="E2" s="143" t="s">
        <v>299</v>
      </c>
      <c r="F2" s="143" t="s">
        <v>300</v>
      </c>
      <c r="G2" s="143" t="s">
        <v>308</v>
      </c>
      <c r="H2" s="143" t="s">
        <v>309</v>
      </c>
    </row>
    <row r="3" spans="1:16" s="127" customFormat="1">
      <c r="A3" s="139">
        <v>1</v>
      </c>
      <c r="B3" s="139" t="s">
        <v>310</v>
      </c>
      <c r="C3" s="139" t="s">
        <v>301</v>
      </c>
      <c r="D3" s="139">
        <v>7500</v>
      </c>
      <c r="E3" s="139">
        <v>150</v>
      </c>
      <c r="F3" s="140">
        <f t="shared" ref="F3:F9" si="0">50/100*(D3*E3)</f>
        <v>562500</v>
      </c>
      <c r="G3" s="140">
        <f t="shared" ref="G3:G9" si="1">D3*E3+F3</f>
        <v>1687500</v>
      </c>
      <c r="H3" s="140">
        <f t="shared" ref="H3:H9" si="2">G3+2/100*G3</f>
        <v>1721250</v>
      </c>
    </row>
    <row r="4" spans="1:16" s="127" customFormat="1">
      <c r="A4" s="139">
        <v>2</v>
      </c>
      <c r="B4" s="139" t="s">
        <v>311</v>
      </c>
      <c r="C4" s="139" t="s">
        <v>302</v>
      </c>
      <c r="D4" s="139">
        <v>10000</v>
      </c>
      <c r="E4" s="139">
        <v>225</v>
      </c>
      <c r="F4" s="140">
        <f t="shared" si="0"/>
        <v>1125000</v>
      </c>
      <c r="G4" s="140">
        <f t="shared" si="1"/>
        <v>3375000</v>
      </c>
      <c r="H4" s="140">
        <f t="shared" si="2"/>
        <v>3442500</v>
      </c>
    </row>
    <row r="5" spans="1:16" s="127" customFormat="1">
      <c r="A5" s="139">
        <v>3</v>
      </c>
      <c r="B5" s="139" t="s">
        <v>312</v>
      </c>
      <c r="C5" s="139" t="s">
        <v>301</v>
      </c>
      <c r="D5" s="139">
        <v>40000</v>
      </c>
      <c r="E5" s="139">
        <v>118</v>
      </c>
      <c r="F5" s="140">
        <f t="shared" si="0"/>
        <v>2360000</v>
      </c>
      <c r="G5" s="140">
        <f t="shared" si="1"/>
        <v>7080000</v>
      </c>
      <c r="H5" s="140">
        <f t="shared" si="2"/>
        <v>7221600</v>
      </c>
    </row>
    <row r="6" spans="1:16" s="127" customFormat="1">
      <c r="A6" s="139">
        <v>4</v>
      </c>
      <c r="B6" s="139" t="s">
        <v>313</v>
      </c>
      <c r="C6" s="139" t="s">
        <v>303</v>
      </c>
      <c r="D6" s="139">
        <v>7800</v>
      </c>
      <c r="E6" s="139">
        <v>430</v>
      </c>
      <c r="F6" s="140">
        <f t="shared" si="0"/>
        <v>1677000</v>
      </c>
      <c r="G6" s="140">
        <f t="shared" si="1"/>
        <v>5031000</v>
      </c>
      <c r="H6" s="140">
        <f t="shared" si="2"/>
        <v>5131620</v>
      </c>
    </row>
    <row r="7" spans="1:16" s="127" customFormat="1">
      <c r="A7" s="139">
        <v>5</v>
      </c>
      <c r="B7" s="139" t="s">
        <v>314</v>
      </c>
      <c r="C7" s="139" t="s">
        <v>301</v>
      </c>
      <c r="D7" s="139">
        <v>3500</v>
      </c>
      <c r="E7" s="139">
        <v>105</v>
      </c>
      <c r="F7" s="140">
        <f t="shared" si="0"/>
        <v>183750</v>
      </c>
      <c r="G7" s="140">
        <f t="shared" si="1"/>
        <v>551250</v>
      </c>
      <c r="H7" s="140">
        <f t="shared" si="2"/>
        <v>562275</v>
      </c>
    </row>
    <row r="8" spans="1:16" s="127" customFormat="1">
      <c r="A8" s="139">
        <v>6</v>
      </c>
      <c r="B8" s="139" t="s">
        <v>315</v>
      </c>
      <c r="C8" s="139" t="s">
        <v>301</v>
      </c>
      <c r="D8" s="139">
        <v>6000</v>
      </c>
      <c r="E8" s="139">
        <v>530</v>
      </c>
      <c r="F8" s="140">
        <f t="shared" si="0"/>
        <v>1590000</v>
      </c>
      <c r="G8" s="140">
        <f t="shared" si="1"/>
        <v>4770000</v>
      </c>
      <c r="H8" s="140">
        <f t="shared" si="2"/>
        <v>4865400</v>
      </c>
    </row>
    <row r="9" spans="1:16" s="127" customFormat="1">
      <c r="A9" s="139">
        <v>7</v>
      </c>
      <c r="B9" s="139" t="s">
        <v>316</v>
      </c>
      <c r="C9" s="139" t="s">
        <v>301</v>
      </c>
      <c r="D9" s="139">
        <v>4300</v>
      </c>
      <c r="E9" s="139">
        <v>275</v>
      </c>
      <c r="F9" s="140">
        <f t="shared" si="0"/>
        <v>591250</v>
      </c>
      <c r="G9" s="140">
        <f t="shared" si="1"/>
        <v>1773750</v>
      </c>
      <c r="H9" s="140">
        <f t="shared" si="2"/>
        <v>1809225</v>
      </c>
    </row>
    <row r="11" spans="1:16">
      <c r="A11" s="141" t="s">
        <v>1221</v>
      </c>
      <c r="B11" s="142"/>
      <c r="C11" s="142"/>
      <c r="D11" s="142"/>
      <c r="E11" s="142"/>
      <c r="F11" s="142"/>
      <c r="G11" s="142"/>
      <c r="H11" s="142"/>
    </row>
    <row r="12" spans="1:16">
      <c r="A12" s="142" t="s">
        <v>317</v>
      </c>
      <c r="B12" s="142"/>
      <c r="C12" s="142"/>
      <c r="D12" s="142"/>
      <c r="E12" s="142"/>
      <c r="F12" s="142"/>
      <c r="G12" s="142"/>
      <c r="H12" s="142"/>
    </row>
    <row r="13" spans="1:16">
      <c r="A13" s="142" t="s">
        <v>318</v>
      </c>
      <c r="B13" s="142"/>
      <c r="C13" s="142"/>
      <c r="D13" s="142"/>
      <c r="E13" s="142"/>
      <c r="F13" s="142"/>
      <c r="G13" s="142"/>
      <c r="H13" s="142"/>
    </row>
    <row r="14" spans="1:16">
      <c r="A14" s="142" t="s">
        <v>319</v>
      </c>
      <c r="B14" s="142"/>
      <c r="C14" s="142"/>
      <c r="D14" s="142"/>
      <c r="E14" s="142"/>
      <c r="F14" s="142"/>
      <c r="G14" s="142"/>
      <c r="H14" s="142"/>
    </row>
    <row r="15" spans="1:16">
      <c r="A15" s="142" t="s">
        <v>320</v>
      </c>
      <c r="B15" s="142"/>
      <c r="C15" s="142"/>
      <c r="D15" s="142"/>
      <c r="E15" s="142"/>
      <c r="F15" s="142"/>
      <c r="G15" s="142"/>
      <c r="H15" s="142"/>
    </row>
    <row r="16" spans="1:16">
      <c r="A16" s="142" t="s">
        <v>321</v>
      </c>
      <c r="B16" s="142"/>
      <c r="C16" s="142"/>
      <c r="D16" s="142"/>
      <c r="E16" s="142"/>
      <c r="F16" s="142"/>
      <c r="G16" s="142"/>
      <c r="H16" s="142"/>
    </row>
    <row r="17" spans="1:8">
      <c r="A17" s="142" t="s">
        <v>322</v>
      </c>
      <c r="B17" s="142"/>
      <c r="C17" s="142"/>
      <c r="D17" s="142"/>
      <c r="E17" s="142"/>
      <c r="F17" s="142"/>
      <c r="G17" s="142"/>
      <c r="H17" s="142"/>
    </row>
    <row r="18" spans="1:8">
      <c r="A18" s="142" t="s">
        <v>323</v>
      </c>
      <c r="B18" s="142"/>
      <c r="C18" s="142"/>
      <c r="D18" s="142"/>
      <c r="E18" s="142"/>
      <c r="F18" s="142"/>
      <c r="G18" s="142"/>
      <c r="H18" s="142"/>
    </row>
  </sheetData>
  <mergeCells count="1">
    <mergeCell ref="A1:H1"/>
  </mergeCells>
  <phoneticPr fontId="141"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1C3A6-8496-4841-A2AA-7E05D89BAE1F}">
  <dimension ref="A1:M35"/>
  <sheetViews>
    <sheetView workbookViewId="0">
      <selection activeCell="M1" sqref="M1"/>
    </sheetView>
  </sheetViews>
  <sheetFormatPr defaultRowHeight="15.75"/>
  <cols>
    <col min="1" max="1" width="10.42578125" style="145" customWidth="1"/>
    <col min="2" max="2" width="16" style="145" customWidth="1"/>
    <col min="3" max="3" width="12.85546875" style="145" customWidth="1"/>
    <col min="4" max="4" width="17.5703125" style="145" customWidth="1"/>
    <col min="5" max="5" width="9.5703125" style="145" customWidth="1"/>
    <col min="6" max="6" width="12.5703125" style="145" customWidth="1"/>
    <col min="7" max="7" width="12.42578125" style="145" bestFit="1" customWidth="1"/>
    <col min="8" max="16384" width="9.140625" style="145"/>
  </cols>
  <sheetData>
    <row r="1" spans="1:13">
      <c r="A1" s="144" t="s">
        <v>324</v>
      </c>
      <c r="M1" s="886" t="s">
        <v>1991</v>
      </c>
    </row>
    <row r="2" spans="1:13" ht="18.75">
      <c r="B2" s="1094" t="s">
        <v>325</v>
      </c>
      <c r="C2" s="1094"/>
      <c r="D2" s="1094"/>
      <c r="E2" s="1094"/>
      <c r="F2" s="1094"/>
      <c r="G2" s="1094"/>
      <c r="H2" s="1094"/>
      <c r="I2" s="1094"/>
    </row>
    <row r="3" spans="1:13" ht="31.5">
      <c r="B3" s="146" t="s">
        <v>326</v>
      </c>
      <c r="C3" s="146" t="s">
        <v>327</v>
      </c>
      <c r="D3" s="146" t="s">
        <v>328</v>
      </c>
      <c r="E3" s="146" t="s">
        <v>329</v>
      </c>
      <c r="F3" s="146" t="s">
        <v>330</v>
      </c>
      <c r="G3" s="146" t="s">
        <v>331</v>
      </c>
      <c r="H3" s="146" t="s">
        <v>332</v>
      </c>
      <c r="I3" s="146" t="s">
        <v>333</v>
      </c>
    </row>
    <row r="4" spans="1:13">
      <c r="B4" s="147">
        <v>37700</v>
      </c>
      <c r="C4" s="148">
        <v>0.52135416666666667</v>
      </c>
      <c r="D4" s="148">
        <v>0.53298611111111105</v>
      </c>
      <c r="E4" s="149">
        <f t="shared" ref="E4:E9" si="0">IF(SECOND(D4-C4)&gt;30,MINUTE(D4-C4)+1,MINUTE(D4-C4))</f>
        <v>17</v>
      </c>
      <c r="F4" s="101" t="s">
        <v>1076</v>
      </c>
      <c r="G4" s="150">
        <f t="shared" ref="G4:G9" si="1">E4*VLOOKUP(F4,$B$15:$D$17,3,0)</f>
        <v>30600</v>
      </c>
      <c r="H4" s="150">
        <f t="shared" ref="H4:H9" si="2">IF(OR(WEEKDAY(B4)=1,WEEKDAY(B4)=7),G4*10%,0)</f>
        <v>0</v>
      </c>
      <c r="I4" s="150">
        <f t="shared" ref="I4:I9" si="3">G4-H4</f>
        <v>30600</v>
      </c>
    </row>
    <row r="5" spans="1:13">
      <c r="B5" s="147">
        <v>37735</v>
      </c>
      <c r="C5" s="148">
        <v>0.95937499999999998</v>
      </c>
      <c r="D5" s="148">
        <v>0.99023148148148143</v>
      </c>
      <c r="E5" s="149">
        <f t="shared" si="0"/>
        <v>44</v>
      </c>
      <c r="F5" s="101" t="s">
        <v>334</v>
      </c>
      <c r="G5" s="150">
        <f t="shared" si="1"/>
        <v>52800</v>
      </c>
      <c r="H5" s="150">
        <f t="shared" si="2"/>
        <v>0</v>
      </c>
      <c r="I5" s="150">
        <f t="shared" si="3"/>
        <v>52800</v>
      </c>
    </row>
    <row r="6" spans="1:13">
      <c r="B6" s="147">
        <v>37802</v>
      </c>
      <c r="C6" s="148">
        <v>0.59756944444444449</v>
      </c>
      <c r="D6" s="148">
        <v>0.60903935185185187</v>
      </c>
      <c r="E6" s="149">
        <f t="shared" si="0"/>
        <v>17</v>
      </c>
      <c r="F6" s="101" t="s">
        <v>1173</v>
      </c>
      <c r="G6" s="150">
        <f t="shared" si="1"/>
        <v>45900</v>
      </c>
      <c r="H6" s="150">
        <f t="shared" si="2"/>
        <v>0</v>
      </c>
      <c r="I6" s="150">
        <f t="shared" si="3"/>
        <v>45900</v>
      </c>
    </row>
    <row r="7" spans="1:13">
      <c r="B7" s="147">
        <v>37807</v>
      </c>
      <c r="C7" s="148">
        <v>0.2625925925925926</v>
      </c>
      <c r="D7" s="148">
        <v>0.26874999999999999</v>
      </c>
      <c r="E7" s="149">
        <f t="shared" si="0"/>
        <v>9</v>
      </c>
      <c r="F7" s="101" t="s">
        <v>1173</v>
      </c>
      <c r="G7" s="150">
        <f t="shared" si="1"/>
        <v>24300</v>
      </c>
      <c r="H7" s="150">
        <f t="shared" si="2"/>
        <v>2430</v>
      </c>
      <c r="I7" s="150">
        <f t="shared" si="3"/>
        <v>21870</v>
      </c>
    </row>
    <row r="8" spans="1:13">
      <c r="B8" s="147">
        <v>37845</v>
      </c>
      <c r="C8" s="148">
        <v>0.71024305555555556</v>
      </c>
      <c r="D8" s="148">
        <v>0.73259259259259257</v>
      </c>
      <c r="E8" s="149">
        <f t="shared" si="0"/>
        <v>32</v>
      </c>
      <c r="F8" s="101" t="s">
        <v>1076</v>
      </c>
      <c r="G8" s="150">
        <f t="shared" si="1"/>
        <v>57600</v>
      </c>
      <c r="H8" s="150">
        <f t="shared" si="2"/>
        <v>0</v>
      </c>
      <c r="I8" s="150">
        <f t="shared" si="3"/>
        <v>57600</v>
      </c>
    </row>
    <row r="9" spans="1:13">
      <c r="B9" s="147">
        <v>37871</v>
      </c>
      <c r="C9" s="148">
        <v>0.12706018518518519</v>
      </c>
      <c r="D9" s="148">
        <v>0.14292824074074073</v>
      </c>
      <c r="E9" s="149">
        <f t="shared" si="0"/>
        <v>23</v>
      </c>
      <c r="F9" s="101" t="s">
        <v>334</v>
      </c>
      <c r="G9" s="150">
        <f t="shared" si="1"/>
        <v>27600</v>
      </c>
      <c r="H9" s="150">
        <f t="shared" si="2"/>
        <v>2760</v>
      </c>
      <c r="I9" s="150">
        <f t="shared" si="3"/>
        <v>24840</v>
      </c>
    </row>
    <row r="10" spans="1:13">
      <c r="B10" s="1095" t="s">
        <v>335</v>
      </c>
      <c r="C10" s="1095"/>
      <c r="D10" s="1095"/>
      <c r="E10" s="151"/>
      <c r="F10" s="152"/>
      <c r="G10" s="151">
        <f>SUM(G4:G9)</f>
        <v>238800</v>
      </c>
      <c r="H10" s="151">
        <f>SUM(H4:H9)</f>
        <v>5190</v>
      </c>
      <c r="I10" s="151">
        <f>SUM(I4:I9)</f>
        <v>233610</v>
      </c>
    </row>
    <row r="11" spans="1:13">
      <c r="B11" s="1096" t="s">
        <v>336</v>
      </c>
      <c r="C11" s="1096"/>
      <c r="D11" s="1096"/>
      <c r="E11" s="154">
        <v>142</v>
      </c>
      <c r="F11" s="155"/>
      <c r="G11" s="156">
        <v>238800</v>
      </c>
      <c r="H11" s="156">
        <v>5190</v>
      </c>
      <c r="I11" s="156">
        <v>233610</v>
      </c>
    </row>
    <row r="12" spans="1:13">
      <c r="A12" s="144" t="s">
        <v>337</v>
      </c>
      <c r="C12" s="157"/>
      <c r="D12" s="157"/>
      <c r="E12" s="158"/>
    </row>
    <row r="13" spans="1:13" ht="16.5">
      <c r="B13" s="1097" t="s">
        <v>338</v>
      </c>
      <c r="C13" s="1097"/>
      <c r="D13" s="1097"/>
    </row>
    <row r="14" spans="1:13">
      <c r="B14" s="159" t="s">
        <v>339</v>
      </c>
      <c r="C14" s="159" t="s">
        <v>340</v>
      </c>
      <c r="D14" s="159" t="s">
        <v>341</v>
      </c>
    </row>
    <row r="15" spans="1:13">
      <c r="B15" s="160" t="s">
        <v>334</v>
      </c>
      <c r="C15" s="160" t="s">
        <v>342</v>
      </c>
      <c r="D15" s="160">
        <v>1200</v>
      </c>
    </row>
    <row r="16" spans="1:13">
      <c r="B16" s="160" t="s">
        <v>1076</v>
      </c>
      <c r="C16" s="160" t="s">
        <v>343</v>
      </c>
      <c r="D16" s="160">
        <v>1800</v>
      </c>
    </row>
    <row r="17" spans="1:9">
      <c r="B17" s="160" t="s">
        <v>1173</v>
      </c>
      <c r="C17" s="160" t="s">
        <v>344</v>
      </c>
      <c r="D17" s="160">
        <v>2700</v>
      </c>
    </row>
    <row r="18" spans="1:9">
      <c r="A18" s="161" t="s">
        <v>345</v>
      </c>
      <c r="B18" s="162"/>
      <c r="C18" s="162"/>
      <c r="D18" s="162"/>
      <c r="E18" s="162"/>
      <c r="F18" s="162"/>
      <c r="G18" s="162"/>
      <c r="H18" s="162"/>
      <c r="I18" s="162"/>
    </row>
    <row r="19" spans="1:9">
      <c r="A19" s="163" t="s">
        <v>346</v>
      </c>
      <c r="B19" s="162" t="s">
        <v>347</v>
      </c>
      <c r="C19" s="162"/>
      <c r="D19" s="162"/>
      <c r="E19" s="162"/>
      <c r="F19" s="162"/>
      <c r="G19" s="162"/>
      <c r="H19" s="162"/>
      <c r="I19" s="162"/>
    </row>
    <row r="20" spans="1:9">
      <c r="A20" s="164"/>
      <c r="B20" s="162" t="s">
        <v>348</v>
      </c>
      <c r="C20" s="162"/>
      <c r="D20" s="162"/>
      <c r="E20" s="162"/>
      <c r="F20" s="162"/>
      <c r="G20" s="162"/>
      <c r="H20" s="162"/>
      <c r="I20" s="162"/>
    </row>
    <row r="21" spans="1:9">
      <c r="A21" s="164"/>
      <c r="B21" s="165" t="s">
        <v>349</v>
      </c>
      <c r="C21" s="162"/>
      <c r="D21" s="162"/>
      <c r="E21" s="162"/>
      <c r="F21" s="162"/>
      <c r="G21" s="162"/>
      <c r="H21" s="162"/>
      <c r="I21" s="162"/>
    </row>
    <row r="22" spans="1:9">
      <c r="A22" s="164"/>
      <c r="B22" s="166" t="s">
        <v>350</v>
      </c>
      <c r="C22" s="162"/>
      <c r="D22" s="162"/>
      <c r="E22" s="162"/>
      <c r="F22" s="162"/>
      <c r="G22" s="162"/>
      <c r="H22" s="162"/>
      <c r="I22" s="162"/>
    </row>
    <row r="23" spans="1:9">
      <c r="A23" s="164"/>
      <c r="B23" s="166" t="s">
        <v>351</v>
      </c>
      <c r="C23" s="162"/>
      <c r="D23" s="162"/>
      <c r="E23" s="162"/>
      <c r="F23" s="162"/>
      <c r="G23" s="162"/>
      <c r="H23" s="162"/>
      <c r="I23" s="162"/>
    </row>
    <row r="24" spans="1:9">
      <c r="A24" s="163" t="s">
        <v>352</v>
      </c>
      <c r="B24" s="162" t="s">
        <v>353</v>
      </c>
      <c r="C24" s="162"/>
      <c r="D24" s="162"/>
      <c r="E24" s="162"/>
      <c r="F24" s="162"/>
      <c r="G24" s="162"/>
      <c r="H24" s="162"/>
      <c r="I24" s="162"/>
    </row>
    <row r="25" spans="1:9">
      <c r="A25" s="167"/>
      <c r="B25" s="162" t="s">
        <v>354</v>
      </c>
      <c r="C25" s="162"/>
      <c r="D25" s="162"/>
      <c r="E25" s="162"/>
      <c r="F25" s="162"/>
      <c r="G25" s="162"/>
      <c r="H25" s="162"/>
      <c r="I25" s="162"/>
    </row>
    <row r="26" spans="1:9">
      <c r="A26" s="163" t="s">
        <v>355</v>
      </c>
      <c r="B26" s="162" t="s">
        <v>356</v>
      </c>
      <c r="C26" s="162"/>
      <c r="D26" s="162"/>
      <c r="E26" s="162"/>
      <c r="F26" s="162"/>
      <c r="G26" s="162"/>
      <c r="H26" s="162"/>
      <c r="I26" s="162"/>
    </row>
    <row r="27" spans="1:9">
      <c r="A27" s="167"/>
      <c r="B27" s="162" t="s">
        <v>357</v>
      </c>
      <c r="C27" s="162"/>
      <c r="D27" s="162"/>
      <c r="E27" s="162"/>
      <c r="F27" s="162"/>
      <c r="G27" s="162"/>
      <c r="H27" s="162"/>
      <c r="I27" s="162"/>
    </row>
    <row r="28" spans="1:9">
      <c r="A28" s="163" t="s">
        <v>358</v>
      </c>
      <c r="B28" s="162" t="s">
        <v>359</v>
      </c>
      <c r="C28" s="162"/>
      <c r="D28" s="162"/>
      <c r="E28" s="162"/>
      <c r="F28" s="162"/>
      <c r="G28" s="162"/>
      <c r="H28" s="162"/>
      <c r="I28" s="162"/>
    </row>
    <row r="29" spans="1:9">
      <c r="A29" s="163" t="s">
        <v>360</v>
      </c>
      <c r="B29" s="162" t="s">
        <v>361</v>
      </c>
      <c r="C29" s="162"/>
      <c r="D29" s="162"/>
      <c r="E29" s="162"/>
      <c r="F29" s="162"/>
      <c r="G29" s="162"/>
      <c r="H29" s="162"/>
      <c r="I29" s="162"/>
    </row>
    <row r="30" spans="1:9" ht="31.5">
      <c r="B30" s="168" t="s">
        <v>362</v>
      </c>
      <c r="C30" s="168" t="s">
        <v>363</v>
      </c>
      <c r="D30" s="168" t="s">
        <v>364</v>
      </c>
    </row>
    <row r="31" spans="1:9">
      <c r="B31" s="101" t="s">
        <v>334</v>
      </c>
      <c r="C31" s="150">
        <f>SUMIF($F$4:$F$9,B31,$E$4:$E$9)</f>
        <v>67</v>
      </c>
      <c r="D31" s="169">
        <f>SUMIF($F$4:$F$9,B31,$I$4:$I$9)</f>
        <v>77640</v>
      </c>
    </row>
    <row r="32" spans="1:9">
      <c r="B32" s="101" t="s">
        <v>1076</v>
      </c>
      <c r="C32" s="150">
        <f>SUMIF($F$4:$F$9,B32,$E$4:$E$9)</f>
        <v>49</v>
      </c>
      <c r="D32" s="169">
        <f>SUMIF($F$4:$F$9,B32,$I$4:$I$9)</f>
        <v>88200</v>
      </c>
    </row>
    <row r="33" spans="2:4">
      <c r="B33" s="101" t="s">
        <v>1173</v>
      </c>
      <c r="C33" s="150">
        <f>SUMIF($F$4:$F$9,B33,$E$4:$E$9)</f>
        <v>26</v>
      </c>
      <c r="D33" s="169">
        <f>SUMIF($F$4:$F$9,B33,$I$4:$I$9)</f>
        <v>67770</v>
      </c>
    </row>
    <row r="34" spans="2:4">
      <c r="B34" s="170" t="s">
        <v>335</v>
      </c>
      <c r="C34" s="150">
        <f>SUM(C31:C33)</f>
        <v>142</v>
      </c>
      <c r="D34" s="169">
        <f>SUM(D31:D33)</f>
        <v>233610</v>
      </c>
    </row>
    <row r="35" spans="2:4" ht="31.5">
      <c r="B35" s="171" t="s">
        <v>365</v>
      </c>
      <c r="C35" s="172">
        <v>142</v>
      </c>
      <c r="D35" s="173">
        <v>233610</v>
      </c>
    </row>
  </sheetData>
  <mergeCells count="4">
    <mergeCell ref="B2:I2"/>
    <mergeCell ref="B10:D10"/>
    <mergeCell ref="B11:D11"/>
    <mergeCell ref="B13:D13"/>
  </mergeCells>
  <phoneticPr fontId="14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6AA63-0557-48A8-971B-D5A4CD3515F0}">
  <dimension ref="A1:N23"/>
  <sheetViews>
    <sheetView workbookViewId="0">
      <selection activeCell="N1" sqref="N1"/>
    </sheetView>
  </sheetViews>
  <sheetFormatPr defaultRowHeight="15.75"/>
  <cols>
    <col min="1" max="1" width="11" style="145" customWidth="1"/>
    <col min="2" max="2" width="12.140625" style="145" bestFit="1" customWidth="1"/>
    <col min="3" max="4" width="12.7109375" style="145" bestFit="1" customWidth="1"/>
    <col min="5" max="5" width="15" style="145" bestFit="1" customWidth="1"/>
    <col min="6" max="6" width="11.7109375" style="145" customWidth="1"/>
    <col min="7" max="7" width="12.28515625" style="145" bestFit="1" customWidth="1"/>
    <col min="8" max="8" width="11.140625" style="145" customWidth="1"/>
    <col min="9" max="16384" width="9.140625" style="145"/>
  </cols>
  <sheetData>
    <row r="1" spans="1:14" ht="16.5" thickBot="1">
      <c r="B1" s="174"/>
      <c r="C1" s="174"/>
      <c r="D1" s="174"/>
      <c r="E1" s="174"/>
      <c r="N1" s="886" t="s">
        <v>1991</v>
      </c>
    </row>
    <row r="2" spans="1:14" ht="23.25" thickTop="1">
      <c r="B2" s="1098" t="s">
        <v>366</v>
      </c>
      <c r="C2" s="1099"/>
      <c r="D2" s="1099"/>
      <c r="E2" s="1099"/>
      <c r="F2" s="1100" t="s">
        <v>367</v>
      </c>
      <c r="G2" s="1101"/>
      <c r="H2" s="1102"/>
    </row>
    <row r="3" spans="1:14">
      <c r="B3" s="175" t="s">
        <v>368</v>
      </c>
      <c r="C3" s="176" t="s">
        <v>369</v>
      </c>
      <c r="D3" s="176" t="s">
        <v>370</v>
      </c>
      <c r="E3" s="176" t="s">
        <v>371</v>
      </c>
      <c r="F3" s="176" t="s">
        <v>372</v>
      </c>
      <c r="G3" s="176" t="s">
        <v>373</v>
      </c>
      <c r="H3" s="177" t="s">
        <v>374</v>
      </c>
    </row>
    <row r="4" spans="1:14">
      <c r="B4" s="178" t="s">
        <v>998</v>
      </c>
      <c r="C4" s="179">
        <v>38006</v>
      </c>
      <c r="D4" s="179">
        <v>38016</v>
      </c>
      <c r="E4" s="670">
        <f>D4-C4</f>
        <v>10</v>
      </c>
      <c r="F4" s="670">
        <f>INT(E4/7)</f>
        <v>1</v>
      </c>
      <c r="G4" s="670">
        <f>MOD(E4,7)</f>
        <v>3</v>
      </c>
      <c r="H4" s="671">
        <f>(F4*650000+G4*100000)*95%</f>
        <v>902500</v>
      </c>
    </row>
    <row r="5" spans="1:14">
      <c r="B5" s="178" t="s">
        <v>1002</v>
      </c>
      <c r="C5" s="179">
        <v>37987</v>
      </c>
      <c r="D5" s="179">
        <v>38003</v>
      </c>
      <c r="E5" s="670">
        <f>D5-C5</f>
        <v>16</v>
      </c>
      <c r="F5" s="670">
        <f>INT(E5/7)</f>
        <v>2</v>
      </c>
      <c r="G5" s="670">
        <f>MOD(E5,7)</f>
        <v>2</v>
      </c>
      <c r="H5" s="671">
        <f>(F5*650000+G5*100000)*95%</f>
        <v>1425000</v>
      </c>
    </row>
    <row r="6" spans="1:14">
      <c r="B6" s="178" t="s">
        <v>375</v>
      </c>
      <c r="C6" s="179">
        <v>38066</v>
      </c>
      <c r="D6" s="179">
        <v>38105</v>
      </c>
      <c r="E6" s="670">
        <f>D6-C6</f>
        <v>39</v>
      </c>
      <c r="F6" s="670">
        <f>INT(E6/7)</f>
        <v>5</v>
      </c>
      <c r="G6" s="670">
        <f>MOD(E6,7)</f>
        <v>4</v>
      </c>
      <c r="H6" s="671">
        <f>(F6*650000+G6*100000)*95%</f>
        <v>3467500</v>
      </c>
    </row>
    <row r="7" spans="1:14">
      <c r="B7" s="178" t="s">
        <v>376</v>
      </c>
      <c r="C7" s="179">
        <v>38262</v>
      </c>
      <c r="D7" s="179">
        <v>38286</v>
      </c>
      <c r="E7" s="670">
        <f>D7-C7</f>
        <v>24</v>
      </c>
      <c r="F7" s="670">
        <f>INT(E7/7)</f>
        <v>3</v>
      </c>
      <c r="G7" s="670">
        <f>MOD(E7,7)</f>
        <v>3</v>
      </c>
      <c r="H7" s="671">
        <f>(F7*650000+G7*100000)*95%</f>
        <v>2137500</v>
      </c>
    </row>
    <row r="8" spans="1:14" ht="16.5" thickBot="1">
      <c r="B8" s="1103" t="s">
        <v>377</v>
      </c>
      <c r="C8" s="1104"/>
      <c r="D8" s="1104"/>
      <c r="E8" s="672">
        <f>SUM(E4:E7)</f>
        <v>89</v>
      </c>
      <c r="F8" s="672">
        <f>SUM(F4:F7)</f>
        <v>11</v>
      </c>
      <c r="G8" s="672">
        <f>SUM(G4:G7)</f>
        <v>12</v>
      </c>
      <c r="H8" s="673">
        <f>SUM(H4:H7)</f>
        <v>7932500</v>
      </c>
    </row>
    <row r="9" spans="1:14" ht="17.25" thickTop="1" thickBot="1"/>
    <row r="10" spans="1:14" ht="16.5" thickTop="1">
      <c r="B10" s="1105" t="s">
        <v>378</v>
      </c>
      <c r="C10" s="180" t="s">
        <v>379</v>
      </c>
      <c r="D10" s="181">
        <v>650000</v>
      </c>
    </row>
    <row r="11" spans="1:14" ht="16.5" thickBot="1">
      <c r="B11" s="1106"/>
      <c r="C11" s="182" t="s">
        <v>1189</v>
      </c>
      <c r="D11" s="183">
        <v>100000</v>
      </c>
      <c r="J11" s="184"/>
    </row>
    <row r="12" spans="1:14" ht="16.5" thickTop="1">
      <c r="A12" s="185" t="s">
        <v>345</v>
      </c>
      <c r="B12" s="162"/>
      <c r="C12" s="162"/>
      <c r="D12" s="186"/>
      <c r="E12" s="186"/>
      <c r="F12" s="186"/>
      <c r="G12" s="186"/>
      <c r="H12" s="186"/>
      <c r="I12" s="186"/>
      <c r="J12" s="184"/>
      <c r="K12" s="187"/>
      <c r="L12" s="184"/>
      <c r="M12" s="184"/>
    </row>
    <row r="13" spans="1:14">
      <c r="A13" s="188" t="s">
        <v>346</v>
      </c>
      <c r="B13" s="162" t="s">
        <v>380</v>
      </c>
      <c r="C13" s="186"/>
      <c r="D13" s="186"/>
      <c r="E13" s="186"/>
      <c r="F13" s="186"/>
      <c r="G13" s="186"/>
      <c r="H13" s="186"/>
      <c r="I13" s="186"/>
      <c r="J13" s="184"/>
      <c r="K13" s="187"/>
      <c r="L13" s="184"/>
      <c r="M13" s="184"/>
    </row>
    <row r="14" spans="1:14">
      <c r="A14" s="188" t="s">
        <v>352</v>
      </c>
      <c r="B14" s="162" t="s">
        <v>381</v>
      </c>
      <c r="C14" s="186"/>
      <c r="D14" s="186"/>
      <c r="E14" s="186"/>
      <c r="F14" s="186"/>
      <c r="G14" s="186"/>
      <c r="H14" s="186"/>
      <c r="I14" s="186"/>
      <c r="J14" s="184"/>
      <c r="K14" s="187"/>
      <c r="L14" s="184"/>
      <c r="M14" s="184"/>
    </row>
    <row r="15" spans="1:14">
      <c r="A15" s="188"/>
      <c r="B15" s="189" t="s">
        <v>382</v>
      </c>
      <c r="C15" s="186"/>
      <c r="D15" s="186"/>
      <c r="E15" s="186"/>
      <c r="F15" s="186"/>
      <c r="G15" s="186"/>
      <c r="H15" s="186"/>
      <c r="I15" s="186"/>
      <c r="J15" s="184"/>
      <c r="K15" s="187"/>
      <c r="L15" s="184"/>
      <c r="M15" s="184"/>
    </row>
    <row r="16" spans="1:14">
      <c r="A16" s="188" t="s">
        <v>355</v>
      </c>
      <c r="B16" s="162" t="s">
        <v>383</v>
      </c>
      <c r="C16" s="186"/>
      <c r="D16" s="186"/>
      <c r="E16" s="186"/>
      <c r="F16" s="186"/>
      <c r="G16" s="186"/>
      <c r="H16" s="186"/>
      <c r="I16" s="186"/>
      <c r="J16" s="184"/>
      <c r="K16" s="187"/>
      <c r="L16" s="184"/>
      <c r="M16" s="184"/>
    </row>
    <row r="17" spans="1:13">
      <c r="A17" s="190"/>
      <c r="B17" s="162" t="s">
        <v>384</v>
      </c>
      <c r="C17" s="186"/>
      <c r="D17" s="186"/>
      <c r="E17" s="186"/>
      <c r="F17" s="186"/>
      <c r="G17" s="186"/>
      <c r="H17" s="186"/>
      <c r="I17" s="186"/>
      <c r="J17" s="184"/>
      <c r="K17" s="187"/>
      <c r="L17" s="184"/>
      <c r="M17" s="184"/>
    </row>
    <row r="18" spans="1:13">
      <c r="A18" s="188" t="s">
        <v>358</v>
      </c>
      <c r="B18" s="162" t="s">
        <v>385</v>
      </c>
      <c r="C18" s="186"/>
      <c r="D18" s="186"/>
      <c r="E18" s="186"/>
      <c r="F18" s="186"/>
      <c r="G18" s="186"/>
      <c r="H18" s="186"/>
      <c r="I18" s="191"/>
      <c r="J18" s="184"/>
      <c r="K18" s="187"/>
      <c r="L18" s="184"/>
      <c r="M18" s="184"/>
    </row>
    <row r="19" spans="1:13">
      <c r="A19" s="188" t="s">
        <v>360</v>
      </c>
      <c r="B19" s="162" t="s">
        <v>386</v>
      </c>
      <c r="C19" s="186"/>
      <c r="D19" s="191"/>
      <c r="E19" s="191"/>
      <c r="F19" s="191"/>
      <c r="G19" s="191"/>
      <c r="H19" s="191"/>
      <c r="I19" s="191"/>
      <c r="J19" s="187"/>
      <c r="K19" s="187"/>
      <c r="L19" s="184"/>
      <c r="M19" s="184"/>
    </row>
    <row r="20" spans="1:13">
      <c r="A20" s="187"/>
      <c r="B20" s="187"/>
      <c r="C20" s="187"/>
      <c r="D20" s="187"/>
      <c r="E20" s="187"/>
      <c r="F20" s="187"/>
      <c r="G20" s="187"/>
      <c r="H20" s="187"/>
      <c r="I20" s="187"/>
      <c r="J20" s="187"/>
      <c r="K20" s="187"/>
      <c r="L20" s="184"/>
      <c r="M20" s="184"/>
    </row>
    <row r="21" spans="1:13">
      <c r="A21" s="187"/>
      <c r="B21" s="187"/>
      <c r="C21" s="187"/>
      <c r="D21" s="187"/>
      <c r="E21" s="187"/>
      <c r="F21" s="187"/>
      <c r="G21" s="187"/>
      <c r="H21" s="187"/>
      <c r="J21" s="187"/>
      <c r="K21" s="187"/>
      <c r="L21" s="184"/>
      <c r="M21" s="184"/>
    </row>
    <row r="22" spans="1:13">
      <c r="A22" s="187"/>
      <c r="B22" s="187"/>
      <c r="C22" s="187"/>
    </row>
    <row r="23" spans="1:13">
      <c r="A23" s="187"/>
      <c r="B23" s="187"/>
      <c r="C23" s="187"/>
    </row>
  </sheetData>
  <mergeCells count="4">
    <mergeCell ref="B2:E2"/>
    <mergeCell ref="F2:H2"/>
    <mergeCell ref="B8:D8"/>
    <mergeCell ref="B10:B11"/>
  </mergeCells>
  <phoneticPr fontId="14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BEBB9-E2C1-447B-8E18-C5146F516218}">
  <dimension ref="A1:P75"/>
  <sheetViews>
    <sheetView workbookViewId="0">
      <selection activeCell="N1" sqref="N1"/>
    </sheetView>
  </sheetViews>
  <sheetFormatPr defaultColWidth="15.7109375" defaultRowHeight="15"/>
  <cols>
    <col min="1" max="1" width="11.140625" style="184" customWidth="1"/>
    <col min="2" max="2" width="13" style="184" customWidth="1"/>
    <col min="3" max="3" width="9.85546875" style="184" customWidth="1"/>
    <col min="4" max="5" width="9.140625" style="184" customWidth="1"/>
    <col min="6" max="6" width="10.7109375" style="184" customWidth="1"/>
    <col min="7" max="7" width="12.7109375" style="184" customWidth="1"/>
    <col min="8" max="8" width="12.85546875" style="184" customWidth="1"/>
    <col min="9" max="9" width="11.7109375" style="184" bestFit="1" customWidth="1"/>
    <col min="10" max="10" width="13.28515625" style="184" customWidth="1"/>
    <col min="11" max="255" width="9.140625" style="184" customWidth="1"/>
    <col min="256" max="16384" width="15.7109375" style="184"/>
  </cols>
  <sheetData>
    <row r="1" spans="1:16" ht="16.5" thickBot="1">
      <c r="N1" s="184" t="s">
        <v>1991</v>
      </c>
      <c r="O1" s="886"/>
      <c r="P1" s="145"/>
    </row>
    <row r="2" spans="1:16" ht="19.5" thickTop="1">
      <c r="B2" s="1107" t="s">
        <v>1235</v>
      </c>
      <c r="C2" s="1108"/>
      <c r="D2" s="1108"/>
      <c r="E2" s="1108"/>
      <c r="F2" s="1108"/>
      <c r="G2" s="1108"/>
      <c r="H2" s="1108"/>
      <c r="I2" s="1108"/>
      <c r="J2" s="1109"/>
      <c r="K2" s="187"/>
    </row>
    <row r="3" spans="1:16" ht="15.75">
      <c r="A3" s="192"/>
      <c r="B3" s="193" t="s">
        <v>387</v>
      </c>
      <c r="C3" s="194" t="s">
        <v>388</v>
      </c>
      <c r="D3" s="194" t="s">
        <v>389</v>
      </c>
      <c r="E3" s="194" t="s">
        <v>390</v>
      </c>
      <c r="F3" s="194" t="s">
        <v>391</v>
      </c>
      <c r="G3" s="194" t="s">
        <v>392</v>
      </c>
      <c r="H3" s="194" t="s">
        <v>393</v>
      </c>
      <c r="I3" s="194" t="s">
        <v>394</v>
      </c>
      <c r="J3" s="195" t="s">
        <v>374</v>
      </c>
      <c r="K3" s="187"/>
    </row>
    <row r="4" spans="1:16" ht="15.75">
      <c r="A4" s="196"/>
      <c r="B4" s="674" t="s">
        <v>1929</v>
      </c>
      <c r="C4" s="391">
        <v>1</v>
      </c>
      <c r="D4" s="675">
        <v>468</v>
      </c>
      <c r="E4" s="675">
        <v>500</v>
      </c>
      <c r="F4" s="197">
        <f t="shared" ref="F4:F9" si="0">IF(C4=1,50,IF(C4=2,100,IF(C4=3,150)))</f>
        <v>50</v>
      </c>
      <c r="G4" s="197">
        <f t="shared" ref="G4:G9" si="1">E4-D4</f>
        <v>32</v>
      </c>
      <c r="H4" s="908">
        <f t="shared" ref="H4:H9" si="2">IF(G4&lt;=F4,450*G4,(450*F4)+800*(G4-F4))</f>
        <v>14400</v>
      </c>
      <c r="I4" s="197">
        <f t="shared" ref="I4:I9" si="3">H4*5%</f>
        <v>720</v>
      </c>
      <c r="J4" s="198">
        <f t="shared" ref="J4:J9" si="4">H4+I4</f>
        <v>15120</v>
      </c>
      <c r="K4" s="187"/>
    </row>
    <row r="5" spans="1:16" ht="15.75">
      <c r="A5" s="199"/>
      <c r="B5" s="674" t="s">
        <v>395</v>
      </c>
      <c r="C5" s="391">
        <v>2</v>
      </c>
      <c r="D5" s="675">
        <v>160</v>
      </c>
      <c r="E5" s="675">
        <v>230</v>
      </c>
      <c r="F5" s="197">
        <f t="shared" si="0"/>
        <v>100</v>
      </c>
      <c r="G5" s="197">
        <f t="shared" si="1"/>
        <v>70</v>
      </c>
      <c r="H5" s="908">
        <f t="shared" si="2"/>
        <v>31500</v>
      </c>
      <c r="I5" s="197">
        <f t="shared" si="3"/>
        <v>1575</v>
      </c>
      <c r="J5" s="198">
        <f t="shared" si="4"/>
        <v>33075</v>
      </c>
      <c r="K5" s="187"/>
    </row>
    <row r="6" spans="1:16" ht="15.75">
      <c r="A6" s="199"/>
      <c r="B6" s="674" t="s">
        <v>396</v>
      </c>
      <c r="C6" s="391">
        <v>3</v>
      </c>
      <c r="D6" s="675">
        <v>410</v>
      </c>
      <c r="E6" s="675">
        <v>509</v>
      </c>
      <c r="F6" s="197">
        <f t="shared" si="0"/>
        <v>150</v>
      </c>
      <c r="G6" s="197">
        <f t="shared" si="1"/>
        <v>99</v>
      </c>
      <c r="H6" s="908">
        <f t="shared" si="2"/>
        <v>44550</v>
      </c>
      <c r="I6" s="197">
        <f t="shared" si="3"/>
        <v>2227.5</v>
      </c>
      <c r="J6" s="198">
        <f t="shared" si="4"/>
        <v>46777.5</v>
      </c>
      <c r="K6" s="187"/>
    </row>
    <row r="7" spans="1:16" s="911" customFormat="1" ht="15.75">
      <c r="A7" s="904"/>
      <c r="B7" s="905" t="s">
        <v>397</v>
      </c>
      <c r="C7" s="906">
        <v>3</v>
      </c>
      <c r="D7" s="907">
        <v>436</v>
      </c>
      <c r="E7" s="907">
        <v>630</v>
      </c>
      <c r="F7" s="908">
        <f t="shared" si="0"/>
        <v>150</v>
      </c>
      <c r="G7" s="908">
        <f t="shared" si="1"/>
        <v>194</v>
      </c>
      <c r="H7" s="908">
        <f t="shared" si="2"/>
        <v>102700</v>
      </c>
      <c r="I7" s="908">
        <f t="shared" si="3"/>
        <v>5135</v>
      </c>
      <c r="J7" s="909">
        <f t="shared" si="4"/>
        <v>107835</v>
      </c>
      <c r="K7" s="910"/>
    </row>
    <row r="8" spans="1:16" ht="15.75">
      <c r="A8" s="199"/>
      <c r="B8" s="674" t="s">
        <v>1436</v>
      </c>
      <c r="C8" s="391">
        <v>2</v>
      </c>
      <c r="D8" s="675">
        <v>307</v>
      </c>
      <c r="E8" s="675">
        <v>430</v>
      </c>
      <c r="F8" s="197">
        <f t="shared" si="0"/>
        <v>100</v>
      </c>
      <c r="G8" s="197">
        <f t="shared" si="1"/>
        <v>123</v>
      </c>
      <c r="H8" s="908">
        <f t="shared" si="2"/>
        <v>63400</v>
      </c>
      <c r="I8" s="197">
        <f t="shared" si="3"/>
        <v>3170</v>
      </c>
      <c r="J8" s="198">
        <f t="shared" si="4"/>
        <v>66570</v>
      </c>
      <c r="K8" s="187"/>
    </row>
    <row r="9" spans="1:16" ht="15.75">
      <c r="A9" s="199"/>
      <c r="B9" s="674" t="s">
        <v>1003</v>
      </c>
      <c r="C9" s="391">
        <v>1</v>
      </c>
      <c r="D9" s="675">
        <v>171</v>
      </c>
      <c r="E9" s="675">
        <v>205</v>
      </c>
      <c r="F9" s="197">
        <f t="shared" si="0"/>
        <v>50</v>
      </c>
      <c r="G9" s="197">
        <f t="shared" si="1"/>
        <v>34</v>
      </c>
      <c r="H9" s="908">
        <f t="shared" si="2"/>
        <v>15300</v>
      </c>
      <c r="I9" s="197">
        <f t="shared" si="3"/>
        <v>765</v>
      </c>
      <c r="J9" s="198">
        <f t="shared" si="4"/>
        <v>16065</v>
      </c>
      <c r="K9" s="187"/>
    </row>
    <row r="10" spans="1:16" ht="16.5" thickBot="1">
      <c r="A10" s="199"/>
      <c r="B10" s="1110" t="s">
        <v>377</v>
      </c>
      <c r="C10" s="1111"/>
      <c r="D10" s="1111"/>
      <c r="E10" s="1111"/>
      <c r="F10" s="1112"/>
      <c r="G10" s="912">
        <f>SUM(G4:G9)</f>
        <v>552</v>
      </c>
      <c r="H10" s="913">
        <f>SUM(H4:H9)</f>
        <v>271850</v>
      </c>
      <c r="I10" s="912">
        <f>SUM(I4:I9)</f>
        <v>13592.5</v>
      </c>
      <c r="J10" s="914">
        <f>SUM(J4:J9)</f>
        <v>285442.5</v>
      </c>
      <c r="K10" s="187"/>
    </row>
    <row r="11" spans="1:16" ht="15.75" thickTop="1">
      <c r="A11" s="199"/>
      <c r="B11" s="187"/>
    </row>
    <row r="12" spans="1:16">
      <c r="B12" s="187"/>
    </row>
    <row r="13" spans="1:16" ht="15.75">
      <c r="A13" s="200"/>
      <c r="B13" s="145"/>
      <c r="C13" s="145"/>
      <c r="D13" s="145"/>
      <c r="E13" s="145"/>
      <c r="F13" s="145"/>
      <c r="G13" s="145"/>
      <c r="H13" s="145"/>
      <c r="I13" s="145"/>
      <c r="J13" s="145"/>
      <c r="K13" s="187"/>
    </row>
    <row r="14" spans="1:16" s="145" customFormat="1" ht="15.75">
      <c r="A14" s="161" t="s">
        <v>345</v>
      </c>
      <c r="B14" s="162" t="s">
        <v>398</v>
      </c>
      <c r="C14" s="162"/>
      <c r="D14" s="162"/>
      <c r="E14" s="162"/>
      <c r="F14" s="162"/>
      <c r="G14" s="162"/>
      <c r="H14" s="162"/>
      <c r="I14" s="162"/>
      <c r="J14" s="162"/>
      <c r="K14" s="162"/>
      <c r="L14" s="162"/>
    </row>
    <row r="15" spans="1:16" s="145" customFormat="1" ht="15.75">
      <c r="A15" s="163" t="s">
        <v>346</v>
      </c>
      <c r="B15" s="162"/>
      <c r="C15" s="162"/>
      <c r="D15" s="162"/>
      <c r="E15" s="162"/>
      <c r="F15" s="162"/>
      <c r="G15" s="162"/>
      <c r="H15" s="162"/>
      <c r="I15" s="162"/>
      <c r="J15" s="162"/>
      <c r="K15" s="162"/>
      <c r="L15" s="162"/>
    </row>
    <row r="16" spans="1:16" s="145" customFormat="1" ht="15.75">
      <c r="A16" s="163"/>
      <c r="B16" s="162" t="s">
        <v>399</v>
      </c>
      <c r="C16" s="162"/>
      <c r="D16" s="162"/>
      <c r="E16" s="162"/>
      <c r="F16" s="162"/>
      <c r="G16" s="162"/>
      <c r="H16" s="162"/>
      <c r="I16" s="162"/>
      <c r="J16" s="162"/>
      <c r="K16" s="162"/>
      <c r="L16" s="162"/>
    </row>
    <row r="17" spans="1:12" s="145" customFormat="1" ht="15.75">
      <c r="A17" s="163" t="s">
        <v>352</v>
      </c>
      <c r="B17" s="162"/>
      <c r="C17" s="162"/>
      <c r="D17" s="162"/>
      <c r="E17" s="162"/>
      <c r="F17" s="162"/>
      <c r="G17" s="162"/>
      <c r="H17" s="162"/>
      <c r="I17" s="162"/>
      <c r="J17" s="162"/>
      <c r="K17" s="162"/>
      <c r="L17" s="162"/>
    </row>
    <row r="18" spans="1:12" s="145" customFormat="1" ht="15.75">
      <c r="A18" s="163"/>
      <c r="B18" s="162" t="s">
        <v>400</v>
      </c>
      <c r="C18" s="162"/>
      <c r="D18" s="162"/>
      <c r="E18" s="162"/>
      <c r="F18" s="162"/>
      <c r="G18" s="162"/>
      <c r="H18" s="162"/>
      <c r="I18" s="162"/>
      <c r="J18" s="162"/>
      <c r="K18" s="162"/>
      <c r="L18" s="162"/>
    </row>
    <row r="19" spans="1:12" s="145" customFormat="1" ht="15.75">
      <c r="A19" s="163" t="s">
        <v>401</v>
      </c>
      <c r="B19" s="162" t="s">
        <v>402</v>
      </c>
      <c r="C19" s="162"/>
      <c r="D19" s="162"/>
      <c r="E19" s="162"/>
      <c r="F19" s="162"/>
      <c r="G19" s="162"/>
      <c r="H19" s="162"/>
      <c r="I19" s="162"/>
      <c r="J19" s="162"/>
      <c r="K19" s="162"/>
      <c r="L19" s="162"/>
    </row>
    <row r="20" spans="1:12" s="145" customFormat="1" ht="15.75">
      <c r="A20" s="163"/>
      <c r="B20" s="162" t="s">
        <v>403</v>
      </c>
      <c r="C20" s="162"/>
      <c r="D20" s="162"/>
      <c r="E20" s="162"/>
      <c r="F20" s="162"/>
      <c r="G20" s="162"/>
      <c r="H20" s="162"/>
      <c r="I20" s="162"/>
      <c r="J20" s="162"/>
      <c r="K20" s="162"/>
      <c r="L20" s="162"/>
    </row>
    <row r="21" spans="1:12" s="145" customFormat="1" ht="15.75">
      <c r="A21" s="163"/>
      <c r="B21" s="162"/>
      <c r="C21" s="162"/>
      <c r="D21" s="162"/>
      <c r="E21" s="162"/>
      <c r="F21" s="162"/>
      <c r="G21" s="162"/>
      <c r="H21" s="162"/>
      <c r="I21" s="162"/>
      <c r="J21" s="162"/>
      <c r="K21" s="162"/>
      <c r="L21" s="162"/>
    </row>
    <row r="22" spans="1:12" s="145" customFormat="1" ht="15.75">
      <c r="A22" s="163"/>
      <c r="B22" s="162" t="s">
        <v>404</v>
      </c>
      <c r="C22" s="162"/>
      <c r="D22" s="162"/>
      <c r="E22" s="162"/>
      <c r="F22" s="162"/>
      <c r="G22" s="162"/>
      <c r="H22" s="162"/>
      <c r="I22" s="162"/>
      <c r="J22" s="162"/>
      <c r="K22" s="162"/>
      <c r="L22" s="162"/>
    </row>
    <row r="23" spans="1:12" s="145" customFormat="1" ht="15.75">
      <c r="A23" s="163" t="s">
        <v>405</v>
      </c>
      <c r="B23" s="162"/>
      <c r="C23" s="162"/>
      <c r="D23" s="162"/>
      <c r="E23" s="162"/>
      <c r="F23" s="162"/>
      <c r="G23" s="162"/>
      <c r="H23" s="162"/>
      <c r="I23" s="162"/>
      <c r="J23" s="162"/>
      <c r="K23" s="162"/>
      <c r="L23" s="162"/>
    </row>
    <row r="24" spans="1:12" s="145" customFormat="1" ht="15.75">
      <c r="A24" s="163"/>
      <c r="B24" s="162" t="s">
        <v>406</v>
      </c>
      <c r="C24" s="162"/>
      <c r="D24" s="162"/>
      <c r="E24" s="162"/>
      <c r="F24" s="162"/>
      <c r="G24" s="162"/>
      <c r="H24" s="162"/>
      <c r="I24" s="162"/>
      <c r="J24" s="162"/>
      <c r="K24" s="162"/>
      <c r="L24" s="162"/>
    </row>
    <row r="25" spans="1:12" s="145" customFormat="1" ht="15.75">
      <c r="A25" s="163" t="s">
        <v>407</v>
      </c>
      <c r="B25" s="162"/>
      <c r="C25" s="162"/>
      <c r="D25" s="162"/>
      <c r="E25" s="162"/>
      <c r="F25" s="162"/>
      <c r="G25" s="162"/>
      <c r="H25" s="162"/>
      <c r="I25" s="162"/>
      <c r="J25" s="162"/>
      <c r="K25" s="162"/>
      <c r="L25" s="162"/>
    </row>
    <row r="26" spans="1:12" s="145" customFormat="1" ht="15.75">
      <c r="A26" s="163"/>
      <c r="B26" s="162" t="s">
        <v>408</v>
      </c>
      <c r="C26" s="162"/>
      <c r="D26" s="162"/>
      <c r="E26" s="162"/>
      <c r="F26" s="162"/>
      <c r="G26" s="162"/>
      <c r="H26" s="162"/>
      <c r="I26" s="162"/>
      <c r="J26" s="162"/>
      <c r="K26" s="162"/>
      <c r="L26" s="162"/>
    </row>
    <row r="27" spans="1:12" s="145" customFormat="1" ht="15.75">
      <c r="A27" s="163" t="s">
        <v>409</v>
      </c>
      <c r="B27" s="162"/>
      <c r="C27" s="162"/>
      <c r="D27" s="162"/>
      <c r="E27" s="162"/>
      <c r="F27" s="162"/>
      <c r="G27" s="162"/>
      <c r="H27" s="162"/>
      <c r="I27" s="162"/>
      <c r="J27" s="162"/>
      <c r="K27" s="162"/>
      <c r="L27" s="162"/>
    </row>
    <row r="28" spans="1:12" s="145" customFormat="1" ht="15.75">
      <c r="A28" s="163"/>
      <c r="B28" s="162" t="s">
        <v>386</v>
      </c>
      <c r="C28" s="162"/>
      <c r="D28" s="162"/>
      <c r="E28" s="162"/>
      <c r="F28" s="162"/>
      <c r="G28" s="162"/>
      <c r="H28" s="162"/>
      <c r="I28" s="162"/>
      <c r="J28" s="162"/>
      <c r="K28" s="162"/>
      <c r="L28" s="162"/>
    </row>
    <row r="29" spans="1:12" s="145" customFormat="1" ht="15.75">
      <c r="A29" s="163" t="s">
        <v>410</v>
      </c>
      <c r="B29" s="191"/>
      <c r="C29" s="191"/>
      <c r="D29" s="191"/>
      <c r="E29" s="191"/>
      <c r="F29" s="191"/>
      <c r="G29" s="191"/>
      <c r="H29" s="191"/>
      <c r="I29" s="191"/>
      <c r="J29" s="191"/>
      <c r="K29" s="162"/>
      <c r="L29" s="162"/>
    </row>
    <row r="30" spans="1:12">
      <c r="A30" s="187"/>
      <c r="B30" s="187"/>
      <c r="C30" s="187"/>
      <c r="D30" s="187"/>
      <c r="E30" s="187"/>
      <c r="F30" s="187"/>
      <c r="G30" s="187"/>
      <c r="H30" s="187"/>
      <c r="I30" s="187"/>
      <c r="J30" s="187"/>
      <c r="K30" s="187"/>
    </row>
    <row r="31" spans="1:12">
      <c r="A31" s="187"/>
      <c r="B31" s="187"/>
      <c r="C31" s="187"/>
      <c r="D31" s="187"/>
      <c r="E31" s="187"/>
      <c r="F31" s="187"/>
      <c r="G31" s="187"/>
      <c r="H31" s="187"/>
      <c r="I31" s="187"/>
      <c r="J31" s="187"/>
      <c r="K31" s="187"/>
    </row>
    <row r="32" spans="1:12">
      <c r="A32" s="187"/>
      <c r="B32" s="187"/>
      <c r="C32" s="187"/>
      <c r="D32" s="187"/>
      <c r="E32" s="187"/>
      <c r="F32" s="187"/>
      <c r="G32" s="187"/>
      <c r="H32" s="187"/>
      <c r="I32" s="187"/>
      <c r="J32" s="187"/>
      <c r="K32" s="187"/>
    </row>
    <row r="33" spans="1:11">
      <c r="A33" s="187"/>
      <c r="B33" s="187"/>
      <c r="C33" s="187"/>
      <c r="D33" s="187"/>
      <c r="E33" s="187"/>
      <c r="F33" s="187"/>
      <c r="G33" s="187"/>
      <c r="H33" s="187"/>
      <c r="I33" s="187"/>
      <c r="J33" s="187"/>
      <c r="K33" s="187"/>
    </row>
    <row r="34" spans="1:11">
      <c r="A34" s="187"/>
      <c r="B34" s="187"/>
      <c r="C34" s="187"/>
      <c r="D34" s="187"/>
      <c r="E34" s="187"/>
      <c r="F34" s="187"/>
      <c r="G34" s="187"/>
      <c r="H34" s="187"/>
      <c r="I34" s="187"/>
      <c r="J34" s="187"/>
      <c r="K34" s="187"/>
    </row>
    <row r="35" spans="1:11">
      <c r="A35" s="187"/>
      <c r="B35" s="187"/>
      <c r="C35" s="187"/>
      <c r="D35" s="187"/>
      <c r="E35" s="187"/>
      <c r="F35" s="187"/>
      <c r="G35" s="187"/>
      <c r="H35" s="187"/>
      <c r="I35" s="187"/>
      <c r="J35" s="187"/>
      <c r="K35" s="187"/>
    </row>
    <row r="36" spans="1:11">
      <c r="A36" s="187"/>
      <c r="B36" s="187"/>
      <c r="C36" s="187"/>
      <c r="D36" s="187"/>
      <c r="E36" s="187"/>
      <c r="F36" s="187"/>
      <c r="G36" s="187"/>
      <c r="H36" s="187"/>
      <c r="I36" s="187"/>
      <c r="J36" s="187"/>
      <c r="K36" s="187"/>
    </row>
    <row r="37" spans="1:11">
      <c r="A37" s="187"/>
      <c r="B37" s="187"/>
      <c r="C37" s="187"/>
      <c r="D37" s="187"/>
      <c r="E37" s="187"/>
      <c r="F37" s="187"/>
      <c r="G37" s="187"/>
      <c r="H37" s="187"/>
      <c r="I37" s="187"/>
      <c r="J37" s="187"/>
      <c r="K37" s="187"/>
    </row>
    <row r="38" spans="1:11">
      <c r="A38" s="187"/>
      <c r="B38" s="187"/>
      <c r="C38" s="187"/>
      <c r="D38" s="187"/>
      <c r="E38" s="187"/>
      <c r="F38" s="187"/>
      <c r="G38" s="187"/>
      <c r="H38" s="187"/>
      <c r="I38" s="187"/>
      <c r="J38" s="187"/>
      <c r="K38" s="187"/>
    </row>
    <row r="39" spans="1:11">
      <c r="A39" s="187"/>
      <c r="B39" s="187"/>
      <c r="C39" s="187"/>
      <c r="D39" s="187"/>
      <c r="E39" s="187"/>
      <c r="F39" s="187"/>
      <c r="G39" s="187"/>
      <c r="H39" s="187"/>
      <c r="I39" s="187"/>
      <c r="J39" s="187"/>
      <c r="K39" s="187"/>
    </row>
    <row r="40" spans="1:11">
      <c r="A40" s="187"/>
      <c r="B40" s="187"/>
      <c r="C40" s="187"/>
      <c r="D40" s="187"/>
      <c r="E40" s="187"/>
      <c r="F40" s="187"/>
      <c r="G40" s="187"/>
      <c r="H40" s="187"/>
      <c r="I40" s="187"/>
      <c r="J40" s="187"/>
      <c r="K40" s="187"/>
    </row>
    <row r="41" spans="1:11">
      <c r="A41" s="187"/>
      <c r="B41" s="187"/>
      <c r="C41" s="187"/>
      <c r="D41" s="187"/>
      <c r="E41" s="187"/>
      <c r="F41" s="187"/>
      <c r="G41" s="187"/>
      <c r="H41" s="187"/>
      <c r="I41" s="187"/>
      <c r="J41" s="187"/>
      <c r="K41" s="187"/>
    </row>
    <row r="42" spans="1:11">
      <c r="A42" s="187"/>
      <c r="B42" s="187"/>
      <c r="C42" s="187"/>
      <c r="D42" s="187"/>
      <c r="E42" s="187"/>
      <c r="F42" s="187"/>
      <c r="G42" s="187"/>
      <c r="H42" s="187"/>
      <c r="I42" s="187"/>
      <c r="J42" s="187"/>
      <c r="K42" s="187"/>
    </row>
    <row r="43" spans="1:11">
      <c r="A43" s="187"/>
      <c r="B43" s="187"/>
      <c r="C43" s="187"/>
      <c r="D43" s="187"/>
      <c r="E43" s="187"/>
      <c r="F43" s="187"/>
      <c r="G43" s="187"/>
      <c r="H43" s="187"/>
      <c r="I43" s="187"/>
      <c r="J43" s="187"/>
      <c r="K43" s="187"/>
    </row>
    <row r="44" spans="1:11">
      <c r="A44" s="187"/>
      <c r="B44" s="187"/>
      <c r="C44" s="187"/>
      <c r="D44" s="187"/>
      <c r="E44" s="187"/>
      <c r="F44" s="187"/>
      <c r="G44" s="187"/>
      <c r="H44" s="187"/>
      <c r="I44" s="187"/>
      <c r="J44" s="187"/>
      <c r="K44" s="187"/>
    </row>
    <row r="45" spans="1:11">
      <c r="A45" s="187"/>
      <c r="B45" s="187"/>
      <c r="C45" s="187"/>
      <c r="D45" s="187"/>
      <c r="E45" s="187"/>
      <c r="F45" s="187"/>
      <c r="G45" s="187"/>
      <c r="H45" s="187"/>
      <c r="I45" s="187"/>
      <c r="J45" s="187"/>
      <c r="K45" s="187"/>
    </row>
    <row r="46" spans="1:11">
      <c r="A46" s="187"/>
      <c r="B46" s="187"/>
      <c r="C46" s="187"/>
      <c r="D46" s="187"/>
      <c r="E46" s="187"/>
      <c r="F46" s="187"/>
      <c r="G46" s="187"/>
      <c r="H46" s="187"/>
      <c r="I46" s="187"/>
      <c r="J46" s="187"/>
      <c r="K46" s="187"/>
    </row>
    <row r="47" spans="1:11">
      <c r="A47" s="187"/>
      <c r="B47" s="187"/>
      <c r="C47" s="187"/>
      <c r="D47" s="187"/>
      <c r="E47" s="187"/>
      <c r="F47" s="187"/>
      <c r="G47" s="187"/>
      <c r="H47" s="187"/>
      <c r="I47" s="187"/>
      <c r="J47" s="187"/>
      <c r="K47" s="187"/>
    </row>
    <row r="48" spans="1:11">
      <c r="A48" s="187"/>
      <c r="B48" s="187"/>
      <c r="C48" s="187"/>
      <c r="D48" s="187"/>
      <c r="E48" s="187"/>
      <c r="F48" s="187"/>
      <c r="G48" s="187"/>
      <c r="H48" s="187"/>
      <c r="I48" s="187"/>
      <c r="J48" s="187"/>
      <c r="K48" s="187"/>
    </row>
    <row r="49" spans="1:11">
      <c r="A49" s="187"/>
      <c r="B49" s="187"/>
      <c r="C49" s="187"/>
      <c r="D49" s="187"/>
      <c r="E49" s="187"/>
      <c r="F49" s="187"/>
      <c r="G49" s="187"/>
      <c r="H49" s="187"/>
      <c r="I49" s="187"/>
      <c r="J49" s="187"/>
      <c r="K49" s="187"/>
    </row>
    <row r="50" spans="1:11">
      <c r="A50" s="187"/>
      <c r="B50" s="187"/>
      <c r="C50" s="187"/>
      <c r="D50" s="187"/>
      <c r="E50" s="187"/>
      <c r="F50" s="187"/>
      <c r="G50" s="187"/>
      <c r="H50" s="187"/>
      <c r="I50" s="187"/>
      <c r="J50" s="187"/>
      <c r="K50" s="187"/>
    </row>
    <row r="51" spans="1:11">
      <c r="A51" s="187"/>
      <c r="B51" s="187"/>
      <c r="C51" s="187"/>
      <c r="D51" s="187"/>
      <c r="E51" s="187"/>
      <c r="F51" s="187"/>
      <c r="G51" s="187"/>
      <c r="H51" s="187"/>
      <c r="I51" s="187"/>
      <c r="J51" s="187"/>
      <c r="K51" s="187"/>
    </row>
    <row r="52" spans="1:11">
      <c r="A52" s="187"/>
      <c r="B52" s="187"/>
      <c r="C52" s="187"/>
      <c r="D52" s="187"/>
      <c r="E52" s="187"/>
      <c r="F52" s="187"/>
      <c r="G52" s="187"/>
      <c r="H52" s="187"/>
      <c r="I52" s="187"/>
      <c r="J52" s="187"/>
      <c r="K52" s="187"/>
    </row>
    <row r="53" spans="1:11">
      <c r="A53" s="187"/>
      <c r="B53" s="187"/>
      <c r="C53" s="187"/>
      <c r="D53" s="187"/>
      <c r="E53" s="187"/>
      <c r="F53" s="187"/>
      <c r="G53" s="187"/>
      <c r="H53" s="187"/>
      <c r="I53" s="187"/>
      <c r="J53" s="187"/>
      <c r="K53" s="187"/>
    </row>
    <row r="54" spans="1:11">
      <c r="A54" s="187"/>
      <c r="B54" s="187"/>
      <c r="C54" s="187"/>
      <c r="D54" s="187"/>
      <c r="E54" s="187"/>
      <c r="F54" s="187"/>
      <c r="G54" s="187"/>
      <c r="H54" s="187"/>
      <c r="I54" s="187"/>
      <c r="J54" s="187"/>
      <c r="K54" s="187"/>
    </row>
    <row r="55" spans="1:11">
      <c r="A55" s="187"/>
      <c r="B55" s="187"/>
      <c r="C55" s="187"/>
      <c r="D55" s="187"/>
      <c r="E55" s="187"/>
      <c r="F55" s="187"/>
      <c r="G55" s="187"/>
      <c r="H55" s="187"/>
      <c r="I55" s="187"/>
      <c r="J55" s="187"/>
      <c r="K55" s="187"/>
    </row>
    <row r="56" spans="1:11">
      <c r="A56" s="187"/>
      <c r="B56" s="187"/>
      <c r="C56" s="187"/>
      <c r="D56" s="187"/>
      <c r="E56" s="187"/>
      <c r="F56" s="187"/>
      <c r="G56" s="187"/>
      <c r="H56" s="187"/>
      <c r="I56" s="187"/>
      <c r="J56" s="187"/>
      <c r="K56" s="187"/>
    </row>
    <row r="57" spans="1:11">
      <c r="A57" s="187"/>
      <c r="B57" s="187"/>
      <c r="C57" s="187"/>
      <c r="D57" s="187"/>
      <c r="E57" s="187"/>
      <c r="F57" s="187"/>
      <c r="G57" s="187"/>
      <c r="H57" s="187"/>
      <c r="I57" s="187"/>
      <c r="J57" s="187"/>
      <c r="K57" s="187"/>
    </row>
    <row r="58" spans="1:11">
      <c r="A58" s="187"/>
      <c r="B58" s="187"/>
      <c r="C58" s="187"/>
      <c r="D58" s="187"/>
      <c r="E58" s="187"/>
      <c r="F58" s="187"/>
      <c r="G58" s="187"/>
      <c r="H58" s="187"/>
      <c r="I58" s="187"/>
      <c r="J58" s="187"/>
      <c r="K58" s="187"/>
    </row>
    <row r="59" spans="1:11">
      <c r="A59" s="187"/>
      <c r="B59" s="187"/>
      <c r="C59" s="187"/>
      <c r="D59" s="187"/>
      <c r="E59" s="187"/>
      <c r="F59" s="187"/>
      <c r="G59" s="187"/>
      <c r="H59" s="187"/>
      <c r="I59" s="187"/>
      <c r="J59" s="187"/>
      <c r="K59" s="187"/>
    </row>
    <row r="60" spans="1:11">
      <c r="A60" s="187"/>
      <c r="B60" s="187"/>
      <c r="C60" s="187"/>
      <c r="D60" s="187"/>
      <c r="E60" s="187"/>
      <c r="F60" s="187"/>
      <c r="G60" s="187"/>
      <c r="H60" s="187"/>
      <c r="I60" s="187"/>
      <c r="J60" s="187"/>
      <c r="K60" s="187"/>
    </row>
    <row r="61" spans="1:11">
      <c r="A61" s="187"/>
      <c r="B61" s="187"/>
      <c r="C61" s="187"/>
      <c r="D61" s="187"/>
      <c r="E61" s="187"/>
      <c r="F61" s="187"/>
      <c r="G61" s="187"/>
      <c r="H61" s="187"/>
      <c r="I61" s="187"/>
      <c r="J61" s="187"/>
      <c r="K61" s="187"/>
    </row>
    <row r="62" spans="1:11">
      <c r="A62" s="187"/>
      <c r="B62" s="187"/>
      <c r="C62" s="187"/>
      <c r="D62" s="187"/>
      <c r="E62" s="187"/>
      <c r="F62" s="187"/>
      <c r="G62" s="187"/>
      <c r="H62" s="187"/>
      <c r="I62" s="187"/>
      <c r="J62" s="187"/>
      <c r="K62" s="187"/>
    </row>
    <row r="63" spans="1:11">
      <c r="A63" s="187"/>
      <c r="B63" s="187"/>
      <c r="C63" s="187"/>
      <c r="D63" s="187"/>
      <c r="E63" s="187"/>
      <c r="F63" s="187"/>
      <c r="G63" s="187"/>
      <c r="H63" s="187"/>
      <c r="I63" s="187"/>
      <c r="J63" s="187"/>
      <c r="K63" s="187"/>
    </row>
    <row r="64" spans="1:11">
      <c r="A64" s="187"/>
      <c r="B64" s="187"/>
      <c r="C64" s="187"/>
      <c r="D64" s="187"/>
      <c r="E64" s="187"/>
      <c r="F64" s="187"/>
      <c r="G64" s="187"/>
      <c r="H64" s="187"/>
      <c r="I64" s="187"/>
      <c r="J64" s="187"/>
      <c r="K64" s="187"/>
    </row>
    <row r="65" spans="1:11">
      <c r="A65" s="187"/>
      <c r="B65" s="187"/>
      <c r="C65" s="187"/>
      <c r="D65" s="187"/>
      <c r="E65" s="187"/>
      <c r="F65" s="187"/>
      <c r="G65" s="187"/>
      <c r="H65" s="187"/>
      <c r="I65" s="187"/>
      <c r="J65" s="187"/>
      <c r="K65" s="187"/>
    </row>
    <row r="66" spans="1:11">
      <c r="A66" s="187"/>
      <c r="B66" s="187"/>
      <c r="C66" s="187"/>
      <c r="D66" s="187"/>
      <c r="E66" s="187"/>
      <c r="F66" s="187"/>
      <c r="G66" s="187"/>
      <c r="H66" s="187"/>
      <c r="I66" s="187"/>
      <c r="J66" s="187"/>
      <c r="K66" s="187"/>
    </row>
    <row r="67" spans="1:11">
      <c r="A67" s="187"/>
      <c r="B67" s="187"/>
      <c r="C67" s="187"/>
      <c r="D67" s="187"/>
      <c r="E67" s="187"/>
      <c r="F67" s="187"/>
      <c r="G67" s="187"/>
      <c r="H67" s="187"/>
      <c r="I67" s="187"/>
      <c r="J67" s="187"/>
      <c r="K67" s="187"/>
    </row>
    <row r="68" spans="1:11">
      <c r="A68" s="187"/>
      <c r="B68" s="187"/>
      <c r="C68" s="187"/>
      <c r="D68" s="187"/>
      <c r="E68" s="187"/>
      <c r="F68" s="187"/>
      <c r="G68" s="187"/>
      <c r="H68" s="187"/>
      <c r="I68" s="187"/>
      <c r="J68" s="187"/>
      <c r="K68" s="187"/>
    </row>
    <row r="69" spans="1:11">
      <c r="A69" s="187"/>
      <c r="B69" s="187"/>
      <c r="C69" s="187"/>
      <c r="D69" s="187"/>
      <c r="E69" s="187"/>
      <c r="F69" s="187"/>
      <c r="G69" s="187"/>
      <c r="H69" s="187"/>
      <c r="I69" s="187"/>
      <c r="J69" s="187"/>
      <c r="K69" s="187"/>
    </row>
    <row r="70" spans="1:11">
      <c r="A70" s="187"/>
      <c r="B70" s="187"/>
      <c r="C70" s="187"/>
      <c r="D70" s="187"/>
      <c r="E70" s="187"/>
      <c r="F70" s="187"/>
      <c r="G70" s="187"/>
      <c r="H70" s="187"/>
      <c r="I70" s="187"/>
      <c r="J70" s="187"/>
      <c r="K70" s="187"/>
    </row>
    <row r="71" spans="1:11">
      <c r="A71" s="187"/>
      <c r="B71" s="187"/>
      <c r="C71" s="187"/>
      <c r="D71" s="187"/>
      <c r="E71" s="187"/>
      <c r="F71" s="187"/>
      <c r="G71" s="187"/>
      <c r="H71" s="187"/>
      <c r="I71" s="187"/>
      <c r="J71" s="187"/>
      <c r="K71" s="187"/>
    </row>
    <row r="72" spans="1:11">
      <c r="A72" s="187"/>
      <c r="B72" s="187"/>
      <c r="C72" s="187"/>
      <c r="D72" s="187"/>
      <c r="E72" s="187"/>
      <c r="F72" s="187"/>
      <c r="G72" s="187"/>
      <c r="H72" s="187"/>
      <c r="I72" s="187"/>
      <c r="J72" s="187"/>
      <c r="K72" s="187"/>
    </row>
    <row r="73" spans="1:11">
      <c r="A73" s="187"/>
      <c r="B73" s="187"/>
      <c r="C73" s="187"/>
      <c r="D73" s="187"/>
      <c r="E73" s="187"/>
      <c r="F73" s="187"/>
      <c r="G73" s="187"/>
      <c r="H73" s="187"/>
      <c r="I73" s="187"/>
      <c r="J73" s="187"/>
      <c r="K73" s="187"/>
    </row>
    <row r="74" spans="1:11">
      <c r="A74" s="187"/>
      <c r="B74" s="187"/>
      <c r="C74" s="187"/>
      <c r="D74" s="187"/>
      <c r="E74" s="187"/>
      <c r="F74" s="187"/>
      <c r="G74" s="187"/>
      <c r="H74" s="187"/>
      <c r="I74" s="187"/>
      <c r="J74" s="187"/>
      <c r="K74" s="187"/>
    </row>
    <row r="75" spans="1:11">
      <c r="A75" s="187"/>
      <c r="K75" s="187"/>
    </row>
  </sheetData>
  <mergeCells count="2">
    <mergeCell ref="B2:J2"/>
    <mergeCell ref="B10:F10"/>
  </mergeCells>
  <phoneticPr fontId="141" type="noConversion"/>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01A1-88A8-432D-8F2B-46A2604C23D9}">
  <dimension ref="A1:N34"/>
  <sheetViews>
    <sheetView workbookViewId="0">
      <selection activeCell="K1" sqref="K1"/>
    </sheetView>
  </sheetViews>
  <sheetFormatPr defaultColWidth="15.7109375" defaultRowHeight="15.75"/>
  <cols>
    <col min="1" max="1" width="10.28515625" style="145" customWidth="1"/>
    <col min="2" max="2" width="13.28515625" style="145" customWidth="1"/>
    <col min="3" max="4" width="9.140625" style="145" customWidth="1"/>
    <col min="5" max="5" width="10.42578125" style="145" customWidth="1"/>
    <col min="6" max="6" width="12.140625" style="145" customWidth="1"/>
    <col min="7" max="7" width="12.28515625" style="145" customWidth="1"/>
    <col min="8" max="8" width="11.28515625" style="145" customWidth="1"/>
    <col min="9" max="9" width="11.7109375" style="145" bestFit="1" customWidth="1"/>
    <col min="10" max="255" width="9.140625" style="145" customWidth="1"/>
    <col min="256" max="16384" width="15.7109375" style="145"/>
  </cols>
  <sheetData>
    <row r="1" spans="1:14" ht="16.5" thickBot="1">
      <c r="K1" s="145" t="s">
        <v>1991</v>
      </c>
      <c r="N1" s="886"/>
    </row>
    <row r="2" spans="1:14" ht="16.5" thickTop="1">
      <c r="A2" s="201"/>
      <c r="B2" s="1115" t="s">
        <v>411</v>
      </c>
      <c r="C2" s="1116"/>
      <c r="D2" s="1116"/>
      <c r="E2" s="1116"/>
      <c r="F2" s="1116"/>
      <c r="G2" s="1116"/>
      <c r="H2" s="1117"/>
      <c r="I2" s="202"/>
      <c r="J2" s="202"/>
    </row>
    <row r="3" spans="1:14">
      <c r="A3" s="201"/>
      <c r="B3" s="193" t="s">
        <v>412</v>
      </c>
      <c r="C3" s="194" t="s">
        <v>389</v>
      </c>
      <c r="D3" s="194" t="s">
        <v>390</v>
      </c>
      <c r="E3" s="194" t="s">
        <v>392</v>
      </c>
      <c r="F3" s="194" t="s">
        <v>413</v>
      </c>
      <c r="G3" s="194" t="s">
        <v>414</v>
      </c>
      <c r="H3" s="195" t="s">
        <v>374</v>
      </c>
      <c r="I3" s="201"/>
      <c r="J3" s="201"/>
    </row>
    <row r="4" spans="1:14">
      <c r="A4" s="203"/>
      <c r="B4" s="674" t="s">
        <v>1002</v>
      </c>
      <c r="C4" s="675">
        <v>468</v>
      </c>
      <c r="D4" s="675">
        <v>500</v>
      </c>
      <c r="E4" s="197">
        <f t="shared" ref="E4:E9" si="0">D4-C4</f>
        <v>32</v>
      </c>
      <c r="F4" s="197">
        <f t="shared" ref="F4:F9" si="1">IF(E4&lt;=50,100*E4,IF(E4&lt;=100,50*100+(E4-50)*150,IF(E4&gt;100,50*100+50*150+(E4-100)*200)))</f>
        <v>3200</v>
      </c>
      <c r="G4" s="197">
        <f t="shared" ref="G4:G9" si="2">IF(E4&lt;50,F4*2%,IF(E4&lt;=100,F4*3%,F4*5%))</f>
        <v>64</v>
      </c>
      <c r="H4" s="198">
        <f t="shared" ref="H4:H9" si="3">F4+G4</f>
        <v>3264</v>
      </c>
    </row>
    <row r="5" spans="1:14">
      <c r="A5" s="204"/>
      <c r="B5" s="674" t="s">
        <v>1309</v>
      </c>
      <c r="C5" s="675">
        <v>160</v>
      </c>
      <c r="D5" s="675">
        <v>230</v>
      </c>
      <c r="E5" s="197">
        <f t="shared" si="0"/>
        <v>70</v>
      </c>
      <c r="F5" s="197">
        <f t="shared" si="1"/>
        <v>8000</v>
      </c>
      <c r="G5" s="197">
        <f t="shared" si="2"/>
        <v>240</v>
      </c>
      <c r="H5" s="198">
        <f t="shared" si="3"/>
        <v>8240</v>
      </c>
    </row>
    <row r="6" spans="1:14">
      <c r="A6" s="204"/>
      <c r="B6" s="674" t="s">
        <v>415</v>
      </c>
      <c r="C6" s="675">
        <v>410</v>
      </c>
      <c r="D6" s="675">
        <v>509</v>
      </c>
      <c r="E6" s="197">
        <f t="shared" si="0"/>
        <v>99</v>
      </c>
      <c r="F6" s="197">
        <f t="shared" si="1"/>
        <v>12350</v>
      </c>
      <c r="G6" s="197">
        <f t="shared" si="2"/>
        <v>370.5</v>
      </c>
      <c r="H6" s="198">
        <f t="shared" si="3"/>
        <v>12720.5</v>
      </c>
    </row>
    <row r="7" spans="1:14">
      <c r="A7" s="204"/>
      <c r="B7" s="674" t="s">
        <v>416</v>
      </c>
      <c r="C7" s="675">
        <v>210</v>
      </c>
      <c r="D7" s="675">
        <v>630</v>
      </c>
      <c r="E7" s="197">
        <f t="shared" si="0"/>
        <v>420</v>
      </c>
      <c r="F7" s="197">
        <f t="shared" si="1"/>
        <v>76500</v>
      </c>
      <c r="G7" s="197">
        <f t="shared" si="2"/>
        <v>3825</v>
      </c>
      <c r="H7" s="198">
        <f t="shared" si="3"/>
        <v>80325</v>
      </c>
    </row>
    <row r="8" spans="1:14">
      <c r="A8" s="204"/>
      <c r="B8" s="674" t="s">
        <v>417</v>
      </c>
      <c r="C8" s="675">
        <v>307</v>
      </c>
      <c r="D8" s="675">
        <v>410</v>
      </c>
      <c r="E8" s="197">
        <f t="shared" si="0"/>
        <v>103</v>
      </c>
      <c r="F8" s="197">
        <f t="shared" si="1"/>
        <v>13100</v>
      </c>
      <c r="G8" s="197">
        <f t="shared" si="2"/>
        <v>655</v>
      </c>
      <c r="H8" s="198">
        <f t="shared" si="3"/>
        <v>13755</v>
      </c>
    </row>
    <row r="9" spans="1:14">
      <c r="A9" s="204"/>
      <c r="B9" s="674" t="s">
        <v>422</v>
      </c>
      <c r="C9" s="675">
        <v>171</v>
      </c>
      <c r="D9" s="675">
        <v>210</v>
      </c>
      <c r="E9" s="197">
        <f t="shared" si="0"/>
        <v>39</v>
      </c>
      <c r="F9" s="197">
        <f t="shared" si="1"/>
        <v>3900</v>
      </c>
      <c r="G9" s="197">
        <f t="shared" si="2"/>
        <v>78</v>
      </c>
      <c r="H9" s="198">
        <f t="shared" si="3"/>
        <v>3978</v>
      </c>
    </row>
    <row r="10" spans="1:14" ht="16.5" thickBot="1">
      <c r="A10" s="204"/>
      <c r="B10" s="1118" t="s">
        <v>335</v>
      </c>
      <c r="C10" s="1119"/>
      <c r="D10" s="1119"/>
      <c r="E10" s="357">
        <f>SUM(E4:E9)</f>
        <v>763</v>
      </c>
      <c r="F10" s="357">
        <f>SUM(F4:F9)</f>
        <v>117050</v>
      </c>
      <c r="G10" s="357">
        <f>SUM(G4:G9)</f>
        <v>5232.5</v>
      </c>
      <c r="H10" s="358">
        <f>SUM(H4:H9)</f>
        <v>122282.5</v>
      </c>
    </row>
    <row r="11" spans="1:14" ht="16.5" thickTop="1">
      <c r="B11" s="1120" t="s">
        <v>336</v>
      </c>
      <c r="C11" s="1120"/>
      <c r="D11" s="1120"/>
      <c r="E11" s="205">
        <v>763</v>
      </c>
      <c r="F11" s="205">
        <v>117050</v>
      </c>
      <c r="G11" s="205">
        <v>5232.5</v>
      </c>
      <c r="H11" s="205">
        <v>122282.5</v>
      </c>
      <c r="I11" s="206"/>
      <c r="J11" s="206"/>
    </row>
    <row r="12" spans="1:14">
      <c r="B12" s="291"/>
      <c r="C12" s="291"/>
      <c r="D12" s="291"/>
      <c r="E12" s="205"/>
      <c r="F12" s="205"/>
      <c r="G12" s="205"/>
      <c r="H12" s="205"/>
      <c r="I12" s="206"/>
      <c r="J12" s="206"/>
    </row>
    <row r="13" spans="1:14">
      <c r="A13" s="161" t="s">
        <v>345</v>
      </c>
      <c r="I13" s="207"/>
      <c r="J13" s="207"/>
    </row>
    <row r="14" spans="1:14">
      <c r="A14" s="163" t="s">
        <v>346</v>
      </c>
      <c r="B14" s="162" t="s">
        <v>423</v>
      </c>
      <c r="C14" s="162"/>
      <c r="D14" s="162"/>
      <c r="E14" s="162"/>
      <c r="F14" s="162"/>
      <c r="G14" s="162"/>
      <c r="H14" s="162"/>
      <c r="I14" s="162"/>
      <c r="J14" s="162"/>
      <c r="K14" s="162"/>
    </row>
    <row r="15" spans="1:14">
      <c r="A15" s="163" t="s">
        <v>352</v>
      </c>
      <c r="B15" s="162" t="s">
        <v>424</v>
      </c>
      <c r="C15" s="162"/>
      <c r="D15" s="162"/>
      <c r="E15" s="162"/>
      <c r="F15" s="162"/>
      <c r="G15" s="162"/>
      <c r="H15" s="162"/>
      <c r="I15" s="162"/>
      <c r="J15" s="162"/>
      <c r="K15" s="162"/>
    </row>
    <row r="16" spans="1:14">
      <c r="A16" s="208"/>
      <c r="B16" s="162" t="s">
        <v>425</v>
      </c>
      <c r="C16" s="162"/>
      <c r="D16" s="162"/>
      <c r="E16" s="162"/>
      <c r="F16" s="162"/>
      <c r="G16" s="162"/>
      <c r="H16" s="162"/>
      <c r="I16" s="162"/>
      <c r="J16" s="162"/>
      <c r="K16" s="162"/>
    </row>
    <row r="17" spans="1:11" ht="18.75">
      <c r="A17" s="208"/>
      <c r="B17" s="1121" t="s">
        <v>426</v>
      </c>
      <c r="C17" s="1121"/>
      <c r="D17" s="162"/>
      <c r="E17" s="1121" t="s">
        <v>427</v>
      </c>
      <c r="F17" s="1121"/>
      <c r="G17" s="162"/>
      <c r="H17" s="162"/>
      <c r="I17" s="162"/>
      <c r="J17" s="162"/>
      <c r="K17" s="162"/>
    </row>
    <row r="18" spans="1:11">
      <c r="A18" s="208"/>
      <c r="B18" s="1113" t="s">
        <v>428</v>
      </c>
      <c r="C18" s="1122"/>
      <c r="D18" s="162"/>
      <c r="E18" s="1114">
        <v>100</v>
      </c>
      <c r="F18" s="1114"/>
      <c r="G18" s="162"/>
      <c r="H18" s="162"/>
      <c r="I18" s="162"/>
      <c r="J18" s="162"/>
      <c r="K18" s="162"/>
    </row>
    <row r="19" spans="1:11">
      <c r="A19" s="208"/>
      <c r="B19" s="1113" t="s">
        <v>429</v>
      </c>
      <c r="C19" s="1113"/>
      <c r="D19" s="162"/>
      <c r="E19" s="1114">
        <v>150</v>
      </c>
      <c r="F19" s="1114"/>
      <c r="G19" s="162"/>
      <c r="H19" s="162"/>
      <c r="I19" s="162"/>
      <c r="J19" s="162"/>
      <c r="K19" s="162"/>
    </row>
    <row r="20" spans="1:11">
      <c r="A20" s="208"/>
      <c r="B20" s="1113" t="s">
        <v>430</v>
      </c>
      <c r="C20" s="1113"/>
      <c r="D20" s="162"/>
      <c r="E20" s="1114">
        <v>200</v>
      </c>
      <c r="F20" s="1114"/>
      <c r="G20" s="162"/>
      <c r="H20" s="162"/>
      <c r="I20" s="162"/>
      <c r="J20" s="162"/>
      <c r="K20" s="162"/>
    </row>
    <row r="21" spans="1:11">
      <c r="A21" s="208"/>
      <c r="B21" s="163" t="s">
        <v>431</v>
      </c>
      <c r="C21" s="209"/>
      <c r="D21" s="162"/>
      <c r="E21" s="161"/>
      <c r="F21" s="161"/>
      <c r="G21" s="162"/>
      <c r="H21" s="162"/>
      <c r="I21" s="162"/>
      <c r="J21" s="162"/>
      <c r="K21" s="162"/>
    </row>
    <row r="22" spans="1:11" ht="18.75">
      <c r="A22" s="208"/>
      <c r="B22" s="209"/>
      <c r="C22" s="210" t="s">
        <v>432</v>
      </c>
      <c r="D22" s="162"/>
      <c r="E22" s="161"/>
      <c r="F22" s="161"/>
      <c r="G22" s="162"/>
      <c r="H22" s="162"/>
      <c r="I22" s="162"/>
      <c r="J22" s="162"/>
      <c r="K22" s="162"/>
    </row>
    <row r="23" spans="1:11" ht="18.75">
      <c r="A23" s="208"/>
      <c r="B23" s="209"/>
      <c r="C23" s="211" t="s">
        <v>433</v>
      </c>
      <c r="D23" s="162"/>
      <c r="E23" s="161"/>
      <c r="F23" s="161"/>
      <c r="G23" s="162"/>
      <c r="H23" s="162"/>
      <c r="I23" s="162"/>
      <c r="J23" s="162"/>
      <c r="K23" s="162"/>
    </row>
    <row r="24" spans="1:11" ht="18.75">
      <c r="A24" s="208"/>
      <c r="B24" s="209"/>
      <c r="C24" s="212" t="s">
        <v>434</v>
      </c>
      <c r="D24" s="162"/>
      <c r="E24" s="161"/>
      <c r="F24" s="161"/>
      <c r="G24" s="162"/>
      <c r="H24" s="162"/>
      <c r="I24" s="162"/>
      <c r="J24" s="162"/>
      <c r="K24" s="162"/>
    </row>
    <row r="25" spans="1:11" ht="18.75">
      <c r="A25" s="208"/>
      <c r="B25" s="209"/>
      <c r="C25" s="213" t="s">
        <v>435</v>
      </c>
      <c r="D25" s="162"/>
      <c r="E25" s="161"/>
      <c r="F25" s="161"/>
      <c r="G25" s="162"/>
      <c r="H25" s="162"/>
      <c r="I25" s="162"/>
      <c r="J25" s="162"/>
      <c r="K25" s="162"/>
    </row>
    <row r="26" spans="1:11">
      <c r="A26" s="163" t="s">
        <v>355</v>
      </c>
      <c r="B26" s="214" t="s">
        <v>436</v>
      </c>
      <c r="C26" s="209"/>
      <c r="D26" s="162"/>
      <c r="E26" s="161"/>
      <c r="F26" s="161"/>
      <c r="G26" s="162"/>
      <c r="H26" s="162"/>
      <c r="I26" s="162"/>
      <c r="J26" s="162"/>
      <c r="K26" s="162"/>
    </row>
    <row r="27" spans="1:11">
      <c r="A27" s="208"/>
      <c r="B27" s="215" t="s">
        <v>437</v>
      </c>
      <c r="C27" s="209"/>
      <c r="D27" s="162"/>
      <c r="E27" s="161"/>
      <c r="F27" s="161"/>
      <c r="G27" s="162"/>
      <c r="H27" s="162"/>
      <c r="I27" s="162"/>
      <c r="J27" s="162"/>
      <c r="K27" s="162"/>
    </row>
    <row r="28" spans="1:11" ht="18.75">
      <c r="A28" s="208"/>
      <c r="B28" s="1121" t="s">
        <v>426</v>
      </c>
      <c r="C28" s="1121"/>
      <c r="D28" s="162"/>
      <c r="E28" s="1114" t="s">
        <v>438</v>
      </c>
      <c r="F28" s="1114"/>
      <c r="G28" s="162"/>
      <c r="H28" s="162"/>
      <c r="I28" s="162"/>
      <c r="J28" s="162"/>
      <c r="K28" s="162"/>
    </row>
    <row r="29" spans="1:11">
      <c r="A29" s="208"/>
      <c r="B29" s="1113" t="s">
        <v>428</v>
      </c>
      <c r="C29" s="1122"/>
      <c r="D29" s="162"/>
      <c r="E29" s="1123">
        <v>0.02</v>
      </c>
      <c r="F29" s="1124"/>
      <c r="G29" s="162"/>
      <c r="H29" s="162"/>
      <c r="I29" s="162"/>
      <c r="J29" s="162"/>
      <c r="K29" s="162"/>
    </row>
    <row r="30" spans="1:11">
      <c r="A30" s="208"/>
      <c r="B30" s="1113" t="s">
        <v>429</v>
      </c>
      <c r="C30" s="1113"/>
      <c r="D30" s="162"/>
      <c r="E30" s="1123">
        <v>0.03</v>
      </c>
      <c r="F30" s="1124"/>
      <c r="G30" s="162"/>
      <c r="H30" s="162"/>
      <c r="I30" s="162"/>
      <c r="J30" s="162"/>
      <c r="K30" s="162"/>
    </row>
    <row r="31" spans="1:11">
      <c r="A31" s="208"/>
      <c r="B31" s="1113" t="s">
        <v>430</v>
      </c>
      <c r="C31" s="1113"/>
      <c r="D31" s="162"/>
      <c r="E31" s="1123">
        <v>0.05</v>
      </c>
      <c r="F31" s="1124"/>
      <c r="G31" s="162"/>
      <c r="H31" s="162"/>
      <c r="I31" s="162"/>
      <c r="J31" s="162"/>
      <c r="K31" s="162"/>
    </row>
    <row r="32" spans="1:11">
      <c r="A32" s="163" t="s">
        <v>358</v>
      </c>
      <c r="B32" s="162" t="s">
        <v>439</v>
      </c>
      <c r="C32" s="162"/>
      <c r="D32" s="162"/>
      <c r="E32" s="162"/>
      <c r="F32" s="164"/>
      <c r="G32" s="162"/>
      <c r="H32" s="162"/>
      <c r="I32" s="162"/>
      <c r="J32" s="162"/>
      <c r="K32" s="162"/>
    </row>
    <row r="33" spans="1:11">
      <c r="A33" s="163" t="s">
        <v>360</v>
      </c>
      <c r="B33" s="162" t="s">
        <v>440</v>
      </c>
      <c r="C33" s="162"/>
      <c r="D33" s="162"/>
      <c r="E33" s="162"/>
      <c r="F33" s="162"/>
      <c r="G33" s="162"/>
      <c r="H33" s="162"/>
      <c r="I33" s="162"/>
      <c r="J33" s="162"/>
      <c r="K33" s="162"/>
    </row>
    <row r="34" spans="1:11">
      <c r="A34" s="163" t="s">
        <v>441</v>
      </c>
      <c r="B34" s="162" t="s">
        <v>386</v>
      </c>
      <c r="C34" s="162"/>
      <c r="D34" s="162"/>
      <c r="E34" s="162"/>
      <c r="F34" s="162"/>
      <c r="G34" s="162"/>
      <c r="H34" s="162"/>
      <c r="I34" s="162"/>
      <c r="J34" s="162"/>
      <c r="K34" s="162"/>
    </row>
  </sheetData>
  <mergeCells count="19">
    <mergeCell ref="B20:C20"/>
    <mergeCell ref="E20:F20"/>
    <mergeCell ref="B31:C31"/>
    <mergeCell ref="E31:F31"/>
    <mergeCell ref="B29:C29"/>
    <mergeCell ref="E29:F29"/>
    <mergeCell ref="B30:C30"/>
    <mergeCell ref="E30:F30"/>
    <mergeCell ref="B28:C28"/>
    <mergeCell ref="E28:F28"/>
    <mergeCell ref="B19:C19"/>
    <mergeCell ref="E19:F19"/>
    <mergeCell ref="B2:H2"/>
    <mergeCell ref="B10:D10"/>
    <mergeCell ref="B11:D11"/>
    <mergeCell ref="B17:C17"/>
    <mergeCell ref="E17:F17"/>
    <mergeCell ref="B18:C18"/>
    <mergeCell ref="E18:F18"/>
  </mergeCells>
  <phoneticPr fontId="14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90B2-4A5E-4917-9667-0552B2517C66}">
  <dimension ref="B1:P146"/>
  <sheetViews>
    <sheetView workbookViewId="0">
      <selection activeCell="O1" sqref="O1"/>
    </sheetView>
  </sheetViews>
  <sheetFormatPr defaultRowHeight="12.75"/>
  <cols>
    <col min="1" max="1" width="9.140625" style="187"/>
    <col min="2" max="2" width="9.85546875" style="187" customWidth="1"/>
    <col min="3" max="3" width="6.42578125" style="187" customWidth="1"/>
    <col min="4" max="4" width="4.140625" style="187" customWidth="1"/>
    <col min="5" max="5" width="5.42578125" style="187" customWidth="1"/>
    <col min="6" max="6" width="4.85546875" style="187" customWidth="1"/>
    <col min="7" max="7" width="3.42578125" style="187" customWidth="1"/>
    <col min="8" max="8" width="4.42578125" style="187" customWidth="1"/>
    <col min="9" max="9" width="6.28515625" style="187" customWidth="1"/>
    <col min="10" max="10" width="10.140625" style="187" customWidth="1"/>
    <col min="11" max="11" width="18.5703125" style="216" customWidth="1"/>
    <col min="12" max="12" width="20.85546875" style="187" customWidth="1"/>
    <col min="13" max="13" width="12.140625" style="187" customWidth="1"/>
    <col min="14" max="16384" width="9.140625" style="187"/>
  </cols>
  <sheetData>
    <row r="1" spans="2:16" ht="16.5" thickBot="1">
      <c r="O1" s="886" t="s">
        <v>1991</v>
      </c>
      <c r="P1" s="145"/>
    </row>
    <row r="2" spans="2:16" ht="16.5" thickTop="1">
      <c r="B2" s="1125" t="s">
        <v>442</v>
      </c>
      <c r="C2" s="1126"/>
      <c r="D2" s="1126"/>
      <c r="E2" s="1126"/>
      <c r="F2" s="1126"/>
      <c r="G2" s="1126"/>
      <c r="H2" s="1126"/>
      <c r="I2" s="1126"/>
      <c r="J2" s="1126"/>
      <c r="K2" s="1126"/>
      <c r="L2" s="1127"/>
      <c r="M2" s="145"/>
      <c r="N2" s="184" t="s">
        <v>443</v>
      </c>
      <c r="O2" s="184"/>
      <c r="P2" s="184"/>
    </row>
    <row r="3" spans="2:16" ht="15.75">
      <c r="B3" s="1128" t="s">
        <v>444</v>
      </c>
      <c r="C3" s="1129" t="s">
        <v>445</v>
      </c>
      <c r="D3" s="1129"/>
      <c r="E3" s="1129"/>
      <c r="F3" s="1129" t="s">
        <v>446</v>
      </c>
      <c r="G3" s="1129"/>
      <c r="H3" s="1129"/>
      <c r="I3" s="1130" t="s">
        <v>1080</v>
      </c>
      <c r="J3" s="1130" t="s">
        <v>447</v>
      </c>
      <c r="K3" s="1130" t="s">
        <v>448</v>
      </c>
      <c r="L3" s="1131" t="s">
        <v>336</v>
      </c>
      <c r="M3" s="145"/>
      <c r="N3" s="184"/>
      <c r="O3" s="184"/>
      <c r="P3" s="184"/>
    </row>
    <row r="4" spans="2:16" ht="31.5">
      <c r="B4" s="1128"/>
      <c r="C4" s="217" t="s">
        <v>1292</v>
      </c>
      <c r="D4" s="217" t="s">
        <v>1144</v>
      </c>
      <c r="E4" s="217" t="s">
        <v>449</v>
      </c>
      <c r="F4" s="217" t="s">
        <v>450</v>
      </c>
      <c r="G4" s="217" t="s">
        <v>451</v>
      </c>
      <c r="H4" s="217" t="s">
        <v>452</v>
      </c>
      <c r="I4" s="1130"/>
      <c r="J4" s="1130"/>
      <c r="K4" s="1130"/>
      <c r="L4" s="1131"/>
      <c r="M4" s="153"/>
      <c r="N4" s="184"/>
      <c r="O4" s="184"/>
      <c r="P4" s="184"/>
    </row>
    <row r="5" spans="2:16" ht="15.75">
      <c r="B5" s="674" t="s">
        <v>453</v>
      </c>
      <c r="C5" s="391">
        <v>10</v>
      </c>
      <c r="D5" s="391">
        <v>9</v>
      </c>
      <c r="E5" s="391">
        <v>9</v>
      </c>
      <c r="F5" s="391">
        <v>10</v>
      </c>
      <c r="G5" s="391">
        <v>8</v>
      </c>
      <c r="H5" s="391">
        <v>9</v>
      </c>
      <c r="I5" s="218">
        <f t="shared" ref="I5:I14" si="0">((C5+D5+E5)*2+(F5+G5+H5)*1)/(3*2+3*1)</f>
        <v>9.2222222222222214</v>
      </c>
      <c r="J5" s="219">
        <f t="shared" ref="J5:J14" si="1">RANK(I5,$I$5:$I$14,0)</f>
        <v>1</v>
      </c>
      <c r="K5" s="220" t="str">
        <f t="shared" ref="K5:K14" si="2">IF(AND(I5&gt;=9,C5&gt;=8,D5&gt;=8,E5&gt;=8,F5&gt;=8,G5&gt;=8,H5&gt;=8),"GIỎI",IF(AND(I5&gt;=7,C5&gt;=6,D5&gt;6,E5&gt;=6,F5&gt;=6,G5&gt;=6,H5&gt;=6),"KHÁ",IF(AND(I5&gt;=5,C5&gt;=4,D5&gt;=4,E5&gt;=4,F5&gt;=4,G5&gt;=4,H5&gt;=4),"TRUNG BÌNH","YẾU")))</f>
        <v>GIỎI</v>
      </c>
      <c r="L5" s="221" t="s">
        <v>1382</v>
      </c>
      <c r="M5" s="153"/>
      <c r="N5" s="184"/>
      <c r="O5" s="184"/>
      <c r="P5" s="184"/>
    </row>
    <row r="6" spans="2:16" ht="15.75">
      <c r="B6" s="674" t="s">
        <v>454</v>
      </c>
      <c r="C6" s="391">
        <v>8</v>
      </c>
      <c r="D6" s="391">
        <v>8</v>
      </c>
      <c r="E6" s="391">
        <v>9</v>
      </c>
      <c r="F6" s="391">
        <v>9</v>
      </c>
      <c r="G6" s="391">
        <v>8</v>
      </c>
      <c r="H6" s="391">
        <v>9</v>
      </c>
      <c r="I6" s="218">
        <f t="shared" si="0"/>
        <v>8.4444444444444446</v>
      </c>
      <c r="J6" s="219">
        <f t="shared" si="1"/>
        <v>2</v>
      </c>
      <c r="K6" s="220" t="str">
        <f t="shared" si="2"/>
        <v>KHÁ</v>
      </c>
      <c r="L6" s="221" t="s">
        <v>1381</v>
      </c>
      <c r="M6" s="222"/>
      <c r="N6" s="184"/>
      <c r="O6" s="184"/>
      <c r="P6" s="184"/>
    </row>
    <row r="7" spans="2:16" ht="15.75">
      <c r="B7" s="674" t="s">
        <v>455</v>
      </c>
      <c r="C7" s="391">
        <v>9</v>
      </c>
      <c r="D7" s="391">
        <v>9</v>
      </c>
      <c r="E7" s="391">
        <v>6</v>
      </c>
      <c r="F7" s="391">
        <v>9</v>
      </c>
      <c r="G7" s="391">
        <v>4</v>
      </c>
      <c r="H7" s="391">
        <v>4</v>
      </c>
      <c r="I7" s="218">
        <f t="shared" si="0"/>
        <v>7.2222222222222223</v>
      </c>
      <c r="J7" s="219">
        <f t="shared" si="1"/>
        <v>3</v>
      </c>
      <c r="K7" s="220" t="str">
        <f t="shared" si="2"/>
        <v>TRUNG BÌNH</v>
      </c>
      <c r="L7" s="221" t="s">
        <v>456</v>
      </c>
      <c r="M7" s="222"/>
      <c r="N7" s="184"/>
      <c r="O7" s="184"/>
      <c r="P7" s="184"/>
    </row>
    <row r="8" spans="2:16" ht="15.75">
      <c r="B8" s="674" t="s">
        <v>999</v>
      </c>
      <c r="C8" s="391">
        <v>9</v>
      </c>
      <c r="D8" s="391">
        <v>5</v>
      </c>
      <c r="E8" s="391">
        <v>5</v>
      </c>
      <c r="F8" s="391">
        <v>8</v>
      </c>
      <c r="G8" s="391">
        <v>4</v>
      </c>
      <c r="H8" s="391">
        <v>8</v>
      </c>
      <c r="I8" s="218">
        <f t="shared" si="0"/>
        <v>6.4444444444444446</v>
      </c>
      <c r="J8" s="219">
        <f t="shared" si="1"/>
        <v>4</v>
      </c>
      <c r="K8" s="220" t="str">
        <f t="shared" si="2"/>
        <v>TRUNG BÌNH</v>
      </c>
      <c r="L8" s="221" t="s">
        <v>456</v>
      </c>
      <c r="M8" s="222"/>
      <c r="N8" s="184"/>
      <c r="O8" s="184"/>
      <c r="P8" s="184"/>
    </row>
    <row r="9" spans="2:16" ht="15.75">
      <c r="B9" s="674" t="s">
        <v>1929</v>
      </c>
      <c r="C9" s="391">
        <v>9</v>
      </c>
      <c r="D9" s="391">
        <v>4</v>
      </c>
      <c r="E9" s="391">
        <v>4</v>
      </c>
      <c r="F9" s="391">
        <v>7</v>
      </c>
      <c r="G9" s="391">
        <v>4</v>
      </c>
      <c r="H9" s="391">
        <v>10</v>
      </c>
      <c r="I9" s="218">
        <f t="shared" si="0"/>
        <v>6.1111111111111107</v>
      </c>
      <c r="J9" s="219">
        <f t="shared" si="1"/>
        <v>5</v>
      </c>
      <c r="K9" s="220" t="str">
        <f t="shared" si="2"/>
        <v>TRUNG BÌNH</v>
      </c>
      <c r="L9" s="221" t="s">
        <v>456</v>
      </c>
      <c r="M9" s="222"/>
      <c r="N9" s="184"/>
      <c r="O9" s="184"/>
      <c r="P9" s="184"/>
    </row>
    <row r="10" spans="2:16" ht="15.75">
      <c r="B10" s="674" t="s">
        <v>396</v>
      </c>
      <c r="C10" s="391">
        <v>4</v>
      </c>
      <c r="D10" s="391">
        <v>7</v>
      </c>
      <c r="E10" s="391">
        <v>5</v>
      </c>
      <c r="F10" s="391">
        <v>6</v>
      </c>
      <c r="G10" s="391">
        <v>6</v>
      </c>
      <c r="H10" s="391">
        <v>6</v>
      </c>
      <c r="I10" s="218">
        <f t="shared" si="0"/>
        <v>5.5555555555555554</v>
      </c>
      <c r="J10" s="219">
        <f t="shared" si="1"/>
        <v>6</v>
      </c>
      <c r="K10" s="220" t="str">
        <f t="shared" si="2"/>
        <v>TRUNG BÌNH</v>
      </c>
      <c r="L10" s="221" t="s">
        <v>456</v>
      </c>
      <c r="M10" s="222"/>
      <c r="N10" s="184"/>
      <c r="O10" s="184"/>
      <c r="P10" s="184"/>
    </row>
    <row r="11" spans="2:16" ht="15.75">
      <c r="B11" s="674" t="s">
        <v>457</v>
      </c>
      <c r="C11" s="391">
        <v>6</v>
      </c>
      <c r="D11" s="391">
        <v>2</v>
      </c>
      <c r="E11" s="391">
        <v>4</v>
      </c>
      <c r="F11" s="391">
        <v>9</v>
      </c>
      <c r="G11" s="391">
        <v>9</v>
      </c>
      <c r="H11" s="391">
        <v>5</v>
      </c>
      <c r="I11" s="218">
        <f t="shared" si="0"/>
        <v>5.2222222222222223</v>
      </c>
      <c r="J11" s="219">
        <f t="shared" si="1"/>
        <v>7</v>
      </c>
      <c r="K11" s="220" t="str">
        <f t="shared" si="2"/>
        <v>YẾU</v>
      </c>
      <c r="L11" s="221" t="s">
        <v>458</v>
      </c>
      <c r="M11" s="222"/>
      <c r="N11" s="184"/>
      <c r="O11" s="184"/>
      <c r="P11" s="184"/>
    </row>
    <row r="12" spans="2:16" ht="15.75">
      <c r="B12" s="674" t="s">
        <v>395</v>
      </c>
      <c r="C12" s="391">
        <v>6</v>
      </c>
      <c r="D12" s="391">
        <v>5</v>
      </c>
      <c r="E12" s="391">
        <v>4</v>
      </c>
      <c r="F12" s="391">
        <v>6</v>
      </c>
      <c r="G12" s="391">
        <v>6</v>
      </c>
      <c r="H12" s="391">
        <v>4</v>
      </c>
      <c r="I12" s="218">
        <f t="shared" si="0"/>
        <v>5.1111111111111107</v>
      </c>
      <c r="J12" s="219">
        <f t="shared" si="1"/>
        <v>8</v>
      </c>
      <c r="K12" s="220" t="str">
        <f t="shared" si="2"/>
        <v>TRUNG BÌNH</v>
      </c>
      <c r="L12" s="221" t="s">
        <v>456</v>
      </c>
      <c r="M12" s="222"/>
      <c r="N12" s="184"/>
      <c r="O12" s="184"/>
      <c r="P12" s="184"/>
    </row>
    <row r="13" spans="2:16" ht="15.75">
      <c r="B13" s="674" t="s">
        <v>459</v>
      </c>
      <c r="C13" s="391">
        <v>3</v>
      </c>
      <c r="D13" s="391">
        <v>5</v>
      </c>
      <c r="E13" s="391">
        <v>6</v>
      </c>
      <c r="F13" s="391">
        <v>3</v>
      </c>
      <c r="G13" s="391">
        <v>2</v>
      </c>
      <c r="H13" s="391">
        <v>5</v>
      </c>
      <c r="I13" s="218">
        <f t="shared" si="0"/>
        <v>4.2222222222222223</v>
      </c>
      <c r="J13" s="219">
        <f t="shared" si="1"/>
        <v>9</v>
      </c>
      <c r="K13" s="220" t="str">
        <f t="shared" si="2"/>
        <v>YẾU</v>
      </c>
      <c r="L13" s="221" t="s">
        <v>458</v>
      </c>
      <c r="M13" s="222"/>
      <c r="N13" s="184"/>
      <c r="O13" s="184"/>
      <c r="P13" s="184"/>
    </row>
    <row r="14" spans="2:16" ht="16.5" thickBot="1">
      <c r="B14" s="676" t="s">
        <v>460</v>
      </c>
      <c r="C14" s="655">
        <v>7</v>
      </c>
      <c r="D14" s="655">
        <v>4</v>
      </c>
      <c r="E14" s="655">
        <v>1</v>
      </c>
      <c r="F14" s="655">
        <v>2</v>
      </c>
      <c r="G14" s="655">
        <v>2</v>
      </c>
      <c r="H14" s="655">
        <v>5</v>
      </c>
      <c r="I14" s="223">
        <f t="shared" si="0"/>
        <v>3.6666666666666665</v>
      </c>
      <c r="J14" s="224">
        <f t="shared" si="1"/>
        <v>10</v>
      </c>
      <c r="K14" s="225" t="str">
        <f t="shared" si="2"/>
        <v>YẾU</v>
      </c>
      <c r="L14" s="226" t="s">
        <v>458</v>
      </c>
      <c r="M14" s="222"/>
      <c r="N14" s="184"/>
      <c r="O14" s="184"/>
      <c r="P14" s="184"/>
    </row>
    <row r="15" spans="2:16" ht="16.5" thickTop="1">
      <c r="B15" s="222"/>
      <c r="C15" s="145"/>
      <c r="D15" s="145"/>
      <c r="E15" s="145"/>
      <c r="F15" s="145"/>
      <c r="G15" s="145"/>
      <c r="H15" s="145"/>
      <c r="I15" s="145"/>
      <c r="J15" s="145"/>
      <c r="K15" s="222"/>
      <c r="L15" s="145"/>
      <c r="M15" s="145"/>
      <c r="N15" s="184"/>
      <c r="O15" s="184"/>
      <c r="P15" s="184"/>
    </row>
    <row r="16" spans="2:16" ht="15.75">
      <c r="B16" s="162" t="s">
        <v>461</v>
      </c>
      <c r="C16" s="162"/>
      <c r="D16" s="162"/>
      <c r="E16" s="162"/>
      <c r="F16" s="162"/>
      <c r="G16" s="162"/>
      <c r="H16" s="162"/>
      <c r="I16" s="162"/>
      <c r="J16" s="162"/>
      <c r="K16" s="164"/>
      <c r="L16" s="162"/>
      <c r="M16" s="227"/>
      <c r="N16" s="184"/>
      <c r="O16" s="184"/>
      <c r="P16" s="184"/>
    </row>
    <row r="17" spans="2:13" s="145" customFormat="1" ht="15.75">
      <c r="B17" s="166" t="s">
        <v>462</v>
      </c>
      <c r="C17" s="162"/>
      <c r="D17" s="162"/>
      <c r="E17" s="162"/>
      <c r="F17" s="162"/>
      <c r="G17" s="162"/>
      <c r="H17" s="162"/>
      <c r="I17" s="162"/>
      <c r="J17" s="162"/>
      <c r="K17" s="164"/>
      <c r="L17" s="162"/>
      <c r="M17" s="228"/>
    </row>
    <row r="18" spans="2:13" s="145" customFormat="1" ht="15.75">
      <c r="B18" s="166" t="s">
        <v>463</v>
      </c>
      <c r="C18" s="162"/>
      <c r="D18" s="162"/>
      <c r="E18" s="162"/>
      <c r="F18" s="162"/>
      <c r="G18" s="162"/>
      <c r="H18" s="162"/>
      <c r="I18" s="162"/>
      <c r="J18" s="162"/>
      <c r="K18" s="164"/>
      <c r="L18" s="162"/>
      <c r="M18" s="229"/>
    </row>
    <row r="19" spans="2:13" s="145" customFormat="1" ht="15.75">
      <c r="B19" s="162" t="s">
        <v>464</v>
      </c>
      <c r="C19" s="162"/>
      <c r="D19" s="162"/>
      <c r="E19" s="162"/>
      <c r="F19" s="162"/>
      <c r="G19" s="162"/>
      <c r="H19" s="162"/>
      <c r="I19" s="162"/>
      <c r="J19" s="162"/>
      <c r="K19" s="164"/>
      <c r="L19" s="162"/>
      <c r="M19" s="229"/>
    </row>
    <row r="20" spans="2:13" s="145" customFormat="1" ht="15.75">
      <c r="B20" s="162" t="s">
        <v>465</v>
      </c>
      <c r="C20" s="162"/>
      <c r="D20" s="162"/>
      <c r="E20" s="162"/>
      <c r="F20" s="162"/>
      <c r="G20" s="162"/>
      <c r="H20" s="162"/>
      <c r="I20" s="162"/>
      <c r="J20" s="162"/>
      <c r="K20" s="164"/>
      <c r="L20" s="162"/>
      <c r="M20" s="228"/>
    </row>
    <row r="21" spans="2:13" s="145" customFormat="1" ht="15.75">
      <c r="B21" s="166" t="s">
        <v>466</v>
      </c>
      <c r="C21" s="162"/>
      <c r="D21" s="162"/>
      <c r="E21" s="162"/>
      <c r="F21" s="162"/>
      <c r="G21" s="162"/>
      <c r="H21" s="162"/>
      <c r="I21" s="162"/>
      <c r="J21" s="162"/>
      <c r="K21" s="164"/>
      <c r="L21" s="162"/>
      <c r="M21" s="228"/>
    </row>
    <row r="22" spans="2:13" s="145" customFormat="1" ht="15.75">
      <c r="B22" s="166" t="s">
        <v>467</v>
      </c>
      <c r="C22" s="162"/>
      <c r="D22" s="162"/>
      <c r="E22" s="162"/>
      <c r="F22" s="162"/>
      <c r="G22" s="162"/>
      <c r="H22" s="162"/>
      <c r="I22" s="162"/>
      <c r="J22" s="162"/>
      <c r="K22" s="164"/>
      <c r="L22" s="162"/>
      <c r="M22" s="230"/>
    </row>
    <row r="23" spans="2:13" s="145" customFormat="1" ht="15.75">
      <c r="B23" s="166" t="s">
        <v>468</v>
      </c>
      <c r="C23" s="162"/>
      <c r="D23" s="162"/>
      <c r="E23" s="162"/>
      <c r="F23" s="162"/>
      <c r="G23" s="162"/>
      <c r="H23" s="162"/>
      <c r="I23" s="162"/>
      <c r="J23" s="162"/>
      <c r="K23" s="164"/>
      <c r="L23" s="162"/>
      <c r="M23" s="230"/>
    </row>
    <row r="24" spans="2:13" s="145" customFormat="1" ht="15.75">
      <c r="B24" s="166" t="s">
        <v>469</v>
      </c>
      <c r="C24" s="162"/>
      <c r="D24" s="162"/>
      <c r="E24" s="162"/>
      <c r="F24" s="162"/>
      <c r="G24" s="162"/>
      <c r="H24" s="162"/>
      <c r="I24" s="162"/>
      <c r="J24" s="162"/>
      <c r="K24" s="164"/>
      <c r="L24" s="162"/>
      <c r="M24" s="230"/>
    </row>
    <row r="25" spans="2:13" s="145" customFormat="1" ht="26.25" customHeight="1">
      <c r="B25" s="222"/>
      <c r="C25" s="184"/>
      <c r="D25" s="184"/>
      <c r="E25" s="184"/>
      <c r="F25" s="184"/>
      <c r="G25" s="184"/>
      <c r="H25" s="184"/>
      <c r="I25" s="184"/>
      <c r="J25" s="184"/>
      <c r="K25" s="231"/>
      <c r="L25" s="184"/>
      <c r="M25" s="187"/>
    </row>
    <row r="26" spans="2:13" ht="24" customHeight="1">
      <c r="B26" s="184"/>
      <c r="C26" s="184"/>
      <c r="D26" s="184"/>
      <c r="E26" s="184"/>
      <c r="F26" s="184"/>
      <c r="G26" s="184"/>
      <c r="H26" s="184"/>
      <c r="I26" s="184"/>
      <c r="J26" s="184"/>
      <c r="K26" s="231"/>
      <c r="L26" s="184"/>
    </row>
    <row r="27" spans="2:13" ht="15">
      <c r="B27" s="184"/>
      <c r="C27" s="184"/>
      <c r="D27" s="184"/>
      <c r="E27" s="184"/>
      <c r="F27" s="184"/>
      <c r="G27" s="184"/>
      <c r="H27" s="184"/>
      <c r="I27" s="184"/>
      <c r="J27" s="184"/>
      <c r="K27" s="231"/>
      <c r="L27" s="184"/>
    </row>
    <row r="28" spans="2:13" ht="21" customHeight="1">
      <c r="B28" s="184"/>
    </row>
    <row r="29" spans="2:13" ht="21" customHeight="1"/>
    <row r="30" spans="2:13" ht="21" customHeight="1"/>
    <row r="31" spans="2:13" ht="21" customHeight="1"/>
    <row r="32" spans="2:13" ht="21" customHeight="1"/>
    <row r="33" spans="2:12" ht="21" customHeight="1"/>
    <row r="34" spans="2:12" ht="21" customHeight="1"/>
    <row r="35" spans="2:12" ht="21" customHeight="1"/>
    <row r="36" spans="2:12" ht="21" customHeight="1"/>
    <row r="37" spans="2:12" ht="21" customHeight="1"/>
    <row r="38" spans="2:12" ht="21" customHeight="1"/>
    <row r="39" spans="2:12" ht="21" customHeight="1"/>
    <row r="40" spans="2:12" ht="21" customHeight="1"/>
    <row r="41" spans="2:12" ht="21" customHeight="1"/>
    <row r="42" spans="2:12" ht="21" customHeight="1"/>
    <row r="43" spans="2:12" ht="21" customHeight="1"/>
    <row r="44" spans="2:12" ht="21" customHeight="1"/>
    <row r="45" spans="2:12" ht="21" customHeight="1"/>
    <row r="46" spans="2:12" ht="21" customHeight="1">
      <c r="C46" s="184"/>
      <c r="D46" s="184"/>
      <c r="E46" s="184"/>
      <c r="F46" s="184"/>
      <c r="G46" s="184"/>
      <c r="H46" s="184"/>
      <c r="I46" s="184"/>
      <c r="J46" s="184"/>
      <c r="K46" s="231"/>
      <c r="L46" s="184"/>
    </row>
    <row r="47" spans="2:12" ht="21" customHeight="1">
      <c r="B47" s="184"/>
      <c r="C47" s="184"/>
      <c r="D47" s="184"/>
      <c r="E47" s="184"/>
      <c r="F47" s="184"/>
      <c r="G47" s="184"/>
      <c r="H47" s="184"/>
      <c r="I47" s="184"/>
      <c r="J47" s="184"/>
      <c r="K47" s="231"/>
      <c r="L47" s="184"/>
    </row>
    <row r="48" spans="2:12" ht="21" customHeight="1">
      <c r="B48" s="184"/>
    </row>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sheetData>
  <mergeCells count="8">
    <mergeCell ref="B2:L2"/>
    <mergeCell ref="B3:B4"/>
    <mergeCell ref="C3:E3"/>
    <mergeCell ref="F3:H3"/>
    <mergeCell ref="I3:I4"/>
    <mergeCell ref="J3:J4"/>
    <mergeCell ref="K3:K4"/>
    <mergeCell ref="L3:L4"/>
  </mergeCells>
  <phoneticPr fontId="14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8EE42-0791-4B5A-ACF1-1CB4E6098761}">
  <dimension ref="A1:P18"/>
  <sheetViews>
    <sheetView workbookViewId="0">
      <selection activeCell="O1" sqref="O1"/>
    </sheetView>
  </sheetViews>
  <sheetFormatPr defaultRowHeight="15.75"/>
  <cols>
    <col min="1" max="1" width="9.7109375" style="104" bestFit="1" customWidth="1"/>
    <col min="2" max="2" width="8.28515625" style="104" customWidth="1"/>
    <col min="3" max="3" width="8.140625" style="104" customWidth="1"/>
    <col min="4" max="4" width="8" style="104" customWidth="1"/>
    <col min="5" max="5" width="8.28515625" style="104" customWidth="1"/>
    <col min="6" max="6" width="9.42578125" style="104" bestFit="1" customWidth="1"/>
    <col min="7" max="7" width="9.140625" style="104"/>
    <col min="8" max="8" width="10.42578125" style="104" bestFit="1" customWidth="1"/>
    <col min="9" max="16384" width="9.140625" style="104"/>
  </cols>
  <sheetData>
    <row r="1" spans="1:16">
      <c r="A1" s="1132" t="s">
        <v>499</v>
      </c>
      <c r="B1" s="1132"/>
      <c r="C1" s="1132"/>
      <c r="D1" s="1132"/>
      <c r="E1" s="1132"/>
      <c r="F1" s="1132"/>
      <c r="G1" s="1132"/>
      <c r="H1" s="1132"/>
      <c r="O1" s="886" t="s">
        <v>1991</v>
      </c>
      <c r="P1" s="145"/>
    </row>
    <row r="2" spans="1:16">
      <c r="A2" s="255" t="s">
        <v>500</v>
      </c>
      <c r="B2" s="255" t="s">
        <v>501</v>
      </c>
      <c r="C2" s="255" t="s">
        <v>502</v>
      </c>
      <c r="D2" s="255" t="s">
        <v>503</v>
      </c>
      <c r="E2" s="255" t="s">
        <v>504</v>
      </c>
      <c r="F2" s="255" t="s">
        <v>505</v>
      </c>
      <c r="G2" s="255" t="s">
        <v>506</v>
      </c>
      <c r="H2" s="255" t="s">
        <v>308</v>
      </c>
    </row>
    <row r="3" spans="1:16">
      <c r="A3" s="139" t="s">
        <v>491</v>
      </c>
      <c r="B3" s="139" t="s">
        <v>492</v>
      </c>
      <c r="C3" s="256" t="str">
        <f>RIGHT(B3,1)</f>
        <v>2</v>
      </c>
      <c r="D3" s="257" t="str">
        <f>MID(B3,2,3)</f>
        <v>125</v>
      </c>
      <c r="E3" s="255">
        <v>80000</v>
      </c>
      <c r="F3" s="255">
        <v>15</v>
      </c>
      <c r="G3" s="258">
        <f>IF(C3="2",30/100,50/100)*E3*F3</f>
        <v>360000</v>
      </c>
      <c r="H3" s="259">
        <f>E3*F3-G3</f>
        <v>840000</v>
      </c>
    </row>
    <row r="4" spans="1:16">
      <c r="A4" s="139" t="s">
        <v>493</v>
      </c>
      <c r="B4" s="139" t="s">
        <v>494</v>
      </c>
      <c r="C4" s="256" t="str">
        <f>RIGHT(B4,1)</f>
        <v>1</v>
      </c>
      <c r="D4" s="257" t="str">
        <f>MID(B4,2,3)</f>
        <v>201</v>
      </c>
      <c r="E4" s="255">
        <v>200000</v>
      </c>
      <c r="F4" s="255">
        <v>24</v>
      </c>
      <c r="G4" s="258">
        <f>IF(C4="2",30/100,50/100)*E4*F4</f>
        <v>2400000</v>
      </c>
      <c r="H4" s="259">
        <f>E4*F4-G4</f>
        <v>2400000</v>
      </c>
    </row>
    <row r="5" spans="1:16">
      <c r="A5" s="139" t="s">
        <v>495</v>
      </c>
      <c r="B5" s="139" t="s">
        <v>496</v>
      </c>
      <c r="C5" s="256" t="str">
        <f>RIGHT(B5,1)</f>
        <v>2</v>
      </c>
      <c r="D5" s="257" t="str">
        <f>MID(B5,2,3)</f>
        <v>098</v>
      </c>
      <c r="E5" s="255">
        <v>150000</v>
      </c>
      <c r="F5" s="255">
        <v>12</v>
      </c>
      <c r="G5" s="258">
        <f>IF(C5="2",30/100,50/100)*E5*F5</f>
        <v>540000</v>
      </c>
      <c r="H5" s="259">
        <f>E5*F5-G5</f>
        <v>1260000</v>
      </c>
    </row>
    <row r="6" spans="1:16">
      <c r="A6" s="139" t="s">
        <v>497</v>
      </c>
      <c r="B6" s="139" t="s">
        <v>498</v>
      </c>
      <c r="C6" s="256" t="str">
        <f>RIGHT(B6,1)</f>
        <v>1</v>
      </c>
      <c r="D6" s="257" t="str">
        <f>MID(B6,2,3)</f>
        <v>580</v>
      </c>
      <c r="E6" s="255">
        <v>120000</v>
      </c>
      <c r="F6" s="255">
        <v>30</v>
      </c>
      <c r="G6" s="258">
        <f>IF(C6="2",30/100,50/100)*E6*F6</f>
        <v>1800000</v>
      </c>
      <c r="H6" s="259">
        <f>E6*F6-G6</f>
        <v>1800000</v>
      </c>
    </row>
    <row r="8" spans="1:16">
      <c r="A8" s="142" t="s">
        <v>507</v>
      </c>
      <c r="B8" s="142"/>
      <c r="C8" s="142"/>
      <c r="D8" s="142"/>
      <c r="E8" s="142"/>
      <c r="F8" s="142"/>
      <c r="G8" s="142"/>
      <c r="H8" s="142"/>
      <c r="I8" s="142"/>
    </row>
    <row r="9" spans="1:16">
      <c r="A9" s="142" t="s">
        <v>508</v>
      </c>
      <c r="B9" s="142"/>
      <c r="C9" s="142"/>
      <c r="D9" s="142"/>
      <c r="E9" s="142"/>
      <c r="F9" s="142"/>
      <c r="G9" s="142"/>
      <c r="H9" s="142"/>
      <c r="I9" s="142"/>
    </row>
    <row r="10" spans="1:16">
      <c r="A10" s="142" t="s">
        <v>509</v>
      </c>
      <c r="B10" s="142"/>
      <c r="C10" s="142"/>
      <c r="D10" s="142"/>
      <c r="E10" s="142"/>
      <c r="F10" s="142"/>
      <c r="G10" s="142"/>
      <c r="H10" s="142"/>
      <c r="I10" s="142"/>
    </row>
    <row r="11" spans="1:16">
      <c r="A11" s="142" t="s">
        <v>510</v>
      </c>
      <c r="B11" s="142"/>
      <c r="C11" s="142"/>
      <c r="D11" s="142"/>
      <c r="E11" s="142"/>
      <c r="F11" s="142"/>
      <c r="G11" s="142"/>
      <c r="H11" s="142"/>
      <c r="I11" s="142"/>
    </row>
    <row r="12" spans="1:16">
      <c r="A12" s="142"/>
      <c r="B12" s="142" t="s">
        <v>511</v>
      </c>
      <c r="C12" s="142"/>
      <c r="D12" s="142"/>
      <c r="E12" s="142"/>
      <c r="F12" s="142"/>
      <c r="G12" s="142"/>
      <c r="H12" s="142"/>
      <c r="I12" s="142"/>
    </row>
    <row r="13" spans="1:16">
      <c r="A13" s="142"/>
      <c r="B13" s="142" t="s">
        <v>512</v>
      </c>
      <c r="C13" s="142"/>
      <c r="D13" s="142"/>
      <c r="E13" s="142"/>
      <c r="F13" s="142"/>
      <c r="G13" s="142"/>
      <c r="H13" s="142"/>
      <c r="I13" s="142"/>
    </row>
    <row r="14" spans="1:16">
      <c r="A14" s="142" t="s">
        <v>513</v>
      </c>
      <c r="B14" s="142"/>
      <c r="C14" s="142"/>
      <c r="D14" s="142"/>
      <c r="E14" s="142"/>
      <c r="F14" s="142"/>
      <c r="G14" s="142"/>
      <c r="H14" s="142"/>
      <c r="I14" s="142"/>
    </row>
    <row r="15" spans="1:16">
      <c r="A15" s="142" t="s">
        <v>514</v>
      </c>
      <c r="B15" s="142"/>
      <c r="C15" s="142"/>
      <c r="D15" s="142"/>
      <c r="E15" s="142"/>
      <c r="F15" s="142"/>
      <c r="G15" s="142"/>
      <c r="H15" s="142"/>
      <c r="I15" s="142"/>
    </row>
    <row r="16" spans="1:16">
      <c r="A16" s="142" t="s">
        <v>515</v>
      </c>
      <c r="B16" s="142"/>
      <c r="C16" s="142"/>
      <c r="D16" s="142"/>
      <c r="E16" s="142"/>
      <c r="F16" s="142"/>
      <c r="G16" s="142"/>
      <c r="H16" s="142"/>
      <c r="I16" s="142"/>
    </row>
    <row r="17" spans="1:9">
      <c r="A17" s="142" t="s">
        <v>516</v>
      </c>
      <c r="B17" s="142"/>
      <c r="C17" s="142"/>
      <c r="D17" s="142"/>
      <c r="E17" s="142"/>
      <c r="F17" s="142"/>
      <c r="G17" s="142"/>
      <c r="H17" s="142"/>
      <c r="I17" s="142"/>
    </row>
    <row r="18" spans="1:9">
      <c r="A18" s="142" t="s">
        <v>517</v>
      </c>
      <c r="B18" s="142"/>
      <c r="C18" s="142"/>
      <c r="D18" s="142"/>
      <c r="E18" s="142"/>
      <c r="F18" s="142"/>
      <c r="G18" s="142"/>
      <c r="H18" s="142"/>
      <c r="I18" s="142"/>
    </row>
  </sheetData>
  <mergeCells count="1">
    <mergeCell ref="A1:H1"/>
  </mergeCells>
  <phoneticPr fontId="14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31A96-D56F-4D3C-8C7D-F464BBFA430E}">
  <dimension ref="A1:M19"/>
  <sheetViews>
    <sheetView workbookViewId="0">
      <selection activeCell="L1" sqref="L1"/>
    </sheetView>
  </sheetViews>
  <sheetFormatPr defaultRowHeight="15"/>
  <cols>
    <col min="1" max="1" width="12.5703125" style="138" customWidth="1"/>
    <col min="2" max="2" width="11.5703125" style="138" bestFit="1" customWidth="1"/>
    <col min="3" max="3" width="10.42578125" style="138" bestFit="1" customWidth="1"/>
    <col min="4" max="4" width="9.140625" style="138"/>
    <col min="5" max="5" width="11.5703125" style="138" customWidth="1"/>
    <col min="6" max="6" width="28.7109375" style="138" customWidth="1"/>
    <col min="7" max="16384" width="9.140625" style="138"/>
  </cols>
  <sheetData>
    <row r="1" spans="1:13" ht="18.75">
      <c r="A1" s="1133" t="s">
        <v>473</v>
      </c>
      <c r="B1" s="1133"/>
      <c r="C1" s="1133"/>
      <c r="D1" s="1133"/>
      <c r="E1" s="1133"/>
      <c r="F1" s="1133"/>
      <c r="G1" s="104"/>
      <c r="H1" s="104"/>
      <c r="I1" s="104"/>
      <c r="J1" s="104"/>
      <c r="K1" s="104"/>
      <c r="L1" s="886" t="s">
        <v>1991</v>
      </c>
      <c r="M1" s="145"/>
    </row>
    <row r="2" spans="1:13" ht="47.25">
      <c r="A2" s="262" t="s">
        <v>474</v>
      </c>
      <c r="B2" s="666" t="s">
        <v>475</v>
      </c>
      <c r="C2" s="666" t="s">
        <v>476</v>
      </c>
      <c r="D2" s="666" t="s">
        <v>477</v>
      </c>
      <c r="E2" s="666" t="s">
        <v>478</v>
      </c>
      <c r="F2" s="666" t="s">
        <v>479</v>
      </c>
      <c r="G2" s="104"/>
      <c r="H2" s="104"/>
      <c r="I2" s="104"/>
      <c r="J2" s="104"/>
      <c r="K2" s="104"/>
      <c r="L2" s="104"/>
    </row>
    <row r="3" spans="1:13" ht="15.75">
      <c r="A3" s="677">
        <v>36500</v>
      </c>
      <c r="B3" s="678">
        <f>DAY(A3)</f>
        <v>6</v>
      </c>
      <c r="C3" s="668">
        <f>MONTH(A3)</f>
        <v>12</v>
      </c>
      <c r="D3" s="668">
        <f>YEAR(A3)</f>
        <v>1999</v>
      </c>
      <c r="E3" s="668">
        <f>WEEKDAY(B3)</f>
        <v>6</v>
      </c>
      <c r="F3" s="679">
        <f>DATE(D3,C3,B3)</f>
        <v>36500</v>
      </c>
      <c r="G3" s="104"/>
      <c r="H3" s="104"/>
      <c r="I3" s="104"/>
      <c r="J3" s="104"/>
      <c r="K3" s="104"/>
      <c r="L3" s="104"/>
    </row>
    <row r="4" spans="1:13" ht="15.75">
      <c r="A4" s="677">
        <v>38500</v>
      </c>
      <c r="B4" s="678">
        <f>DAY(A4)</f>
        <v>28</v>
      </c>
      <c r="C4" s="668">
        <f>MONTH(A4)</f>
        <v>5</v>
      </c>
      <c r="D4" s="668">
        <f>YEAR(A4)</f>
        <v>2005</v>
      </c>
      <c r="E4" s="668">
        <f>WEEKDAY(B4)</f>
        <v>7</v>
      </c>
      <c r="F4" s="679">
        <f>DATE(D4,C4,B4)</f>
        <v>38500</v>
      </c>
      <c r="G4" s="104"/>
      <c r="H4" s="104"/>
      <c r="I4" s="104"/>
      <c r="J4" s="104"/>
      <c r="K4" s="104"/>
      <c r="L4" s="104"/>
    </row>
    <row r="5" spans="1:13" ht="15.75">
      <c r="A5" s="677">
        <v>39000</v>
      </c>
      <c r="B5" s="678">
        <f>DAY(A5)</f>
        <v>10</v>
      </c>
      <c r="C5" s="668">
        <f>MONTH(A5)</f>
        <v>10</v>
      </c>
      <c r="D5" s="668">
        <f>YEAR(A5)</f>
        <v>2006</v>
      </c>
      <c r="E5" s="668">
        <f>WEEKDAY(B5)</f>
        <v>3</v>
      </c>
      <c r="F5" s="679">
        <f>DATE(D5,C5,B5)</f>
        <v>39000</v>
      </c>
      <c r="G5" s="104"/>
      <c r="H5" s="104"/>
      <c r="I5" s="104"/>
      <c r="J5" s="104"/>
      <c r="K5" s="104"/>
      <c r="L5" s="104"/>
    </row>
    <row r="6" spans="1:13" ht="15.75">
      <c r="A6" s="677">
        <v>40000</v>
      </c>
      <c r="B6" s="678">
        <f>DAY(A6)</f>
        <v>6</v>
      </c>
      <c r="C6" s="668">
        <f>MONTH(A6)</f>
        <v>7</v>
      </c>
      <c r="D6" s="668">
        <f>YEAR(A6)</f>
        <v>2009</v>
      </c>
      <c r="E6" s="668">
        <f>WEEKDAY(B6)</f>
        <v>6</v>
      </c>
      <c r="F6" s="679">
        <f>DATE(D6,C6,B6)</f>
        <v>40000</v>
      </c>
      <c r="G6" s="104"/>
      <c r="H6" s="104"/>
      <c r="I6" s="104"/>
      <c r="J6" s="104"/>
      <c r="K6" s="104"/>
      <c r="L6" s="104"/>
    </row>
    <row r="7" spans="1:13" ht="15.75">
      <c r="A7" s="104"/>
      <c r="B7" s="253"/>
      <c r="C7" s="104"/>
      <c r="D7" s="104"/>
      <c r="E7" s="104"/>
      <c r="F7" s="104"/>
      <c r="G7" s="104"/>
      <c r="H7" s="104"/>
      <c r="I7" s="104"/>
      <c r="J7" s="104"/>
      <c r="K7" s="104"/>
      <c r="L7" s="104"/>
    </row>
    <row r="8" spans="1:13" ht="15.75">
      <c r="A8" s="131" t="s">
        <v>480</v>
      </c>
      <c r="B8" s="131"/>
      <c r="C8" s="131"/>
      <c r="D8" s="131"/>
      <c r="E8" s="131"/>
      <c r="F8" s="131"/>
      <c r="G8" s="131"/>
      <c r="H8" s="131"/>
      <c r="I8" s="104"/>
      <c r="J8" s="104"/>
      <c r="K8" s="104"/>
      <c r="L8" s="104"/>
    </row>
    <row r="9" spans="1:13" ht="15.75">
      <c r="A9" s="131" t="s">
        <v>481</v>
      </c>
      <c r="B9" s="131"/>
      <c r="C9" s="131"/>
      <c r="D9" s="131"/>
      <c r="E9" s="131"/>
      <c r="F9" s="131"/>
      <c r="G9" s="131"/>
      <c r="H9" s="131"/>
      <c r="I9" s="131"/>
      <c r="J9" s="131"/>
      <c r="K9" s="104"/>
      <c r="L9" s="104"/>
    </row>
    <row r="10" spans="1:13" ht="15.75">
      <c r="A10" s="254" t="s">
        <v>482</v>
      </c>
      <c r="B10" s="254"/>
      <c r="C10" s="254"/>
      <c r="D10" s="254"/>
      <c r="E10" s="254"/>
      <c r="F10" s="254"/>
      <c r="G10" s="131"/>
      <c r="H10" s="131"/>
      <c r="I10" s="131"/>
      <c r="J10" s="131"/>
      <c r="K10" s="104"/>
      <c r="L10" s="104"/>
    </row>
    <row r="11" spans="1:13" ht="35.25" customHeight="1">
      <c r="A11" s="680" t="s">
        <v>483</v>
      </c>
      <c r="B11" s="680" t="s">
        <v>484</v>
      </c>
      <c r="C11" s="680" t="s">
        <v>485</v>
      </c>
      <c r="D11" s="680" t="s">
        <v>486</v>
      </c>
      <c r="E11" s="1136" t="s">
        <v>487</v>
      </c>
      <c r="F11" s="1136"/>
      <c r="G11" s="104"/>
      <c r="H11" s="104"/>
      <c r="I11" s="104"/>
      <c r="J11" s="104"/>
      <c r="K11" s="104"/>
      <c r="L11" s="104"/>
    </row>
    <row r="12" spans="1:13" ht="15.75">
      <c r="A12" s="681">
        <v>0.32</v>
      </c>
      <c r="B12" s="667">
        <f>SECOND(A12)</f>
        <v>48</v>
      </c>
      <c r="C12" s="667">
        <f>MINUTE(A12)</f>
        <v>40</v>
      </c>
      <c r="D12" s="667">
        <f>HOUR(A12)</f>
        <v>7</v>
      </c>
      <c r="E12" s="1134">
        <f>TIME(D12,C12,B12)</f>
        <v>0.32</v>
      </c>
      <c r="F12" s="1135"/>
      <c r="G12" s="104"/>
      <c r="H12" s="104"/>
      <c r="I12" s="104"/>
      <c r="J12" s="104"/>
      <c r="K12" s="104"/>
      <c r="L12" s="104"/>
    </row>
    <row r="13" spans="1:13" ht="15.75">
      <c r="A13" s="681">
        <v>0.75</v>
      </c>
      <c r="B13" s="667">
        <f>SECOND(A13)</f>
        <v>0</v>
      </c>
      <c r="C13" s="667">
        <f>MINUTE(A13)</f>
        <v>0</v>
      </c>
      <c r="D13" s="667">
        <f>HOUR(A13)</f>
        <v>18</v>
      </c>
      <c r="E13" s="1134">
        <f>TIME(D13,C13,B13)</f>
        <v>0.75</v>
      </c>
      <c r="F13" s="1135"/>
      <c r="G13" s="104"/>
      <c r="H13" s="104"/>
      <c r="I13" s="104"/>
      <c r="J13" s="127"/>
      <c r="K13" s="104"/>
      <c r="L13" s="104"/>
    </row>
    <row r="14" spans="1:13" ht="15.75">
      <c r="A14" s="681">
        <v>0.64</v>
      </c>
      <c r="B14" s="667">
        <f>SECOND(A14)</f>
        <v>36</v>
      </c>
      <c r="C14" s="667">
        <f>MINUTE(A14)</f>
        <v>21</v>
      </c>
      <c r="D14" s="667">
        <f>HOUR(A14)</f>
        <v>15</v>
      </c>
      <c r="E14" s="1134">
        <f>TIME(D14,C14,B14)</f>
        <v>0.64</v>
      </c>
      <c r="F14" s="1135"/>
      <c r="G14" s="104"/>
      <c r="H14" s="104"/>
      <c r="I14" s="104"/>
      <c r="J14" s="127"/>
      <c r="K14" s="104"/>
      <c r="L14" s="104"/>
    </row>
    <row r="15" spans="1:13" ht="15.75">
      <c r="A15" s="681">
        <v>0.45</v>
      </c>
      <c r="B15" s="667">
        <f>SECOND(A15)</f>
        <v>0</v>
      </c>
      <c r="C15" s="667">
        <f>MINUTE(A15)</f>
        <v>48</v>
      </c>
      <c r="D15" s="667">
        <f>HOUR(A15)</f>
        <v>10</v>
      </c>
      <c r="E15" s="1134">
        <f>TIME(D15,C15,B15)</f>
        <v>0.45</v>
      </c>
      <c r="F15" s="1135"/>
      <c r="G15" s="104"/>
      <c r="H15" s="104"/>
      <c r="I15" s="104"/>
      <c r="J15" s="127"/>
      <c r="K15" s="104"/>
      <c r="L15" s="104"/>
    </row>
    <row r="16" spans="1:13" ht="15.75">
      <c r="A16" s="131" t="s">
        <v>488</v>
      </c>
      <c r="B16" s="131"/>
      <c r="C16" s="131"/>
      <c r="D16" s="131"/>
      <c r="E16" s="131"/>
      <c r="F16" s="131"/>
      <c r="G16" s="131"/>
      <c r="H16" s="131"/>
      <c r="I16" s="131"/>
      <c r="J16" s="127"/>
      <c r="K16" s="104"/>
      <c r="L16" s="104"/>
    </row>
    <row r="17" spans="1:12" ht="15.75">
      <c r="A17" s="131" t="s">
        <v>489</v>
      </c>
      <c r="B17" s="131"/>
      <c r="C17" s="131"/>
      <c r="D17" s="131"/>
      <c r="E17" s="131"/>
      <c r="F17" s="131"/>
      <c r="G17" s="131"/>
      <c r="H17" s="131"/>
      <c r="I17" s="131"/>
      <c r="J17" s="127"/>
      <c r="K17" s="104"/>
      <c r="L17" s="104"/>
    </row>
    <row r="18" spans="1:12" ht="15.75">
      <c r="A18" s="131" t="s">
        <v>490</v>
      </c>
      <c r="B18" s="131"/>
      <c r="C18" s="131"/>
      <c r="D18" s="131"/>
      <c r="E18" s="131"/>
      <c r="F18" s="131"/>
      <c r="G18" s="131"/>
      <c r="H18" s="131"/>
      <c r="I18" s="131"/>
      <c r="J18" s="127"/>
      <c r="K18" s="104"/>
      <c r="L18" s="104"/>
    </row>
    <row r="19" spans="1:12" ht="15.75">
      <c r="A19" s="104"/>
      <c r="B19" s="104"/>
      <c r="C19" s="104"/>
      <c r="D19" s="104"/>
      <c r="E19" s="104"/>
      <c r="F19" s="104"/>
      <c r="G19" s="104"/>
      <c r="H19" s="104"/>
      <c r="I19" s="104"/>
      <c r="J19" s="127"/>
      <c r="K19" s="104"/>
      <c r="L19" s="104"/>
    </row>
  </sheetData>
  <mergeCells count="6">
    <mergeCell ref="A1:F1"/>
    <mergeCell ref="E15:F15"/>
    <mergeCell ref="E11:F11"/>
    <mergeCell ref="E12:F12"/>
    <mergeCell ref="E13:F13"/>
    <mergeCell ref="E14:F14"/>
  </mergeCells>
  <phoneticPr fontId="141"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6071D-02A2-4280-A89C-B74B359D0FFE}">
  <dimension ref="A1:N8"/>
  <sheetViews>
    <sheetView topLeftCell="C1" workbookViewId="0">
      <selection activeCell="M1" sqref="M1"/>
    </sheetView>
  </sheetViews>
  <sheetFormatPr defaultRowHeight="15.75"/>
  <cols>
    <col min="1" max="1" width="10.5703125" style="104" customWidth="1"/>
    <col min="2" max="2" width="9.140625" style="104"/>
    <col min="3" max="3" width="10.28515625" style="104" bestFit="1" customWidth="1"/>
    <col min="4" max="4" width="9.140625" style="104"/>
    <col min="5" max="5" width="10" style="104" bestFit="1" customWidth="1"/>
    <col min="6" max="6" width="3.5703125" style="104" customWidth="1"/>
    <col min="7" max="7" width="35.28515625" style="104" customWidth="1"/>
    <col min="8" max="8" width="9" style="104" customWidth="1"/>
    <col min="9" max="9" width="10.42578125" style="104" customWidth="1"/>
    <col min="10" max="10" width="11.5703125" style="104" customWidth="1"/>
    <col min="11" max="16384" width="9.140625" style="104"/>
  </cols>
  <sheetData>
    <row r="1" spans="1:14">
      <c r="A1" s="1137" t="s">
        <v>525</v>
      </c>
      <c r="B1" s="1137"/>
      <c r="C1" s="1137"/>
      <c r="D1" s="1137"/>
      <c r="E1" s="1137"/>
      <c r="F1" s="260"/>
      <c r="G1" s="261" t="s">
        <v>526</v>
      </c>
      <c r="H1" s="261">
        <v>85</v>
      </c>
      <c r="M1" s="886" t="s">
        <v>1991</v>
      </c>
      <c r="N1" s="145"/>
    </row>
    <row r="2" spans="1:14">
      <c r="A2" s="262">
        <v>14</v>
      </c>
      <c r="B2" s="262">
        <v>28</v>
      </c>
      <c r="C2" s="262">
        <v>36</v>
      </c>
      <c r="D2" s="262" t="s">
        <v>518</v>
      </c>
      <c r="E2" s="262">
        <v>2</v>
      </c>
      <c r="F2" s="260"/>
      <c r="G2" s="261" t="s">
        <v>527</v>
      </c>
      <c r="H2" s="261">
        <v>2</v>
      </c>
    </row>
    <row r="3" spans="1:14">
      <c r="A3" s="262" t="s">
        <v>11</v>
      </c>
      <c r="B3" s="262"/>
      <c r="C3" s="262">
        <v>43</v>
      </c>
      <c r="D3" s="262">
        <v>57</v>
      </c>
      <c r="E3" s="262">
        <v>85</v>
      </c>
      <c r="F3" s="260"/>
      <c r="G3" s="261" t="s">
        <v>528</v>
      </c>
      <c r="H3" s="261">
        <v>36</v>
      </c>
    </row>
    <row r="4" spans="1:14">
      <c r="A4" s="262">
        <v>19</v>
      </c>
      <c r="B4" s="262">
        <v>35</v>
      </c>
      <c r="C4" s="262" t="s">
        <v>519</v>
      </c>
      <c r="D4" s="262" t="s">
        <v>520</v>
      </c>
      <c r="E4" s="262">
        <v>13</v>
      </c>
      <c r="F4" s="260"/>
      <c r="G4" s="261" t="s">
        <v>529</v>
      </c>
      <c r="H4" s="261">
        <v>869</v>
      </c>
    </row>
    <row r="5" spans="1:14">
      <c r="A5" s="262">
        <v>23</v>
      </c>
      <c r="B5" s="262">
        <v>56</v>
      </c>
      <c r="C5" s="262">
        <v>14</v>
      </c>
      <c r="D5" s="262">
        <v>10</v>
      </c>
      <c r="E5" s="262" t="s">
        <v>521</v>
      </c>
      <c r="F5" s="260"/>
      <c r="G5" s="261" t="s">
        <v>530</v>
      </c>
      <c r="H5" s="261">
        <v>24</v>
      </c>
    </row>
    <row r="6" spans="1:14">
      <c r="A6" s="262" t="s">
        <v>522</v>
      </c>
      <c r="B6" s="262">
        <v>49</v>
      </c>
      <c r="C6" s="262">
        <v>28</v>
      </c>
      <c r="D6" s="262">
        <v>53</v>
      </c>
      <c r="E6" s="262"/>
      <c r="F6" s="260"/>
      <c r="G6" s="261" t="s">
        <v>531</v>
      </c>
      <c r="H6" s="261">
        <v>8</v>
      </c>
    </row>
    <row r="7" spans="1:14">
      <c r="A7" s="262">
        <v>65</v>
      </c>
      <c r="B7" s="262">
        <v>8</v>
      </c>
      <c r="C7" s="262" t="s">
        <v>523</v>
      </c>
      <c r="D7" s="262">
        <v>52</v>
      </c>
      <c r="E7" s="262">
        <v>24</v>
      </c>
      <c r="F7" s="260"/>
      <c r="G7" s="261" t="s">
        <v>532</v>
      </c>
      <c r="H7" s="261">
        <v>8</v>
      </c>
    </row>
    <row r="8" spans="1:14">
      <c r="A8" s="262">
        <v>66</v>
      </c>
      <c r="B8" s="262"/>
      <c r="C8" s="262">
        <v>51</v>
      </c>
      <c r="D8" s="262">
        <v>38</v>
      </c>
      <c r="E8" s="262" t="s">
        <v>524</v>
      </c>
      <c r="F8" s="260"/>
      <c r="G8" s="261" t="s">
        <v>533</v>
      </c>
      <c r="H8" s="261">
        <v>3</v>
      </c>
    </row>
  </sheetData>
  <mergeCells count="1">
    <mergeCell ref="A1:E1"/>
  </mergeCells>
  <phoneticPr fontId="141" type="noConversion"/>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3801F-D6CE-4922-A73E-0213C9630718}">
  <dimension ref="A1:K18"/>
  <sheetViews>
    <sheetView workbookViewId="0">
      <selection activeCell="K1" sqref="K1"/>
    </sheetView>
  </sheetViews>
  <sheetFormatPr defaultRowHeight="15"/>
  <cols>
    <col min="1" max="1" width="15.5703125" style="1" customWidth="1"/>
    <col min="2" max="2" width="7" style="1" customWidth="1"/>
    <col min="3" max="3" width="20.85546875" style="1" customWidth="1"/>
    <col min="4" max="4" width="11.28515625" style="1" customWidth="1"/>
    <col min="5" max="5" width="25" style="1" customWidth="1"/>
    <col min="6" max="16384" width="9.140625" style="1"/>
  </cols>
  <sheetData>
    <row r="1" spans="1:11" ht="15.75" customHeight="1">
      <c r="A1" s="1139" t="s">
        <v>534</v>
      </c>
      <c r="B1" s="1139"/>
      <c r="C1" s="1139"/>
      <c r="D1" s="1139"/>
      <c r="E1" s="1139"/>
      <c r="F1" s="135"/>
      <c r="G1" s="135"/>
      <c r="H1" s="135"/>
    </row>
    <row r="2" spans="1:11" ht="21" customHeight="1">
      <c r="A2" s="268" t="s">
        <v>535</v>
      </c>
      <c r="B2" s="268" t="s">
        <v>536</v>
      </c>
      <c r="C2" s="268" t="s">
        <v>537</v>
      </c>
      <c r="D2" s="1140" t="s">
        <v>538</v>
      </c>
      <c r="E2" s="1140"/>
      <c r="F2" s="263"/>
      <c r="G2" s="263"/>
      <c r="H2" s="263"/>
      <c r="K2" s="1" t="s">
        <v>1991</v>
      </c>
    </row>
    <row r="3" spans="1:11" ht="15.75">
      <c r="A3" s="269">
        <v>35973</v>
      </c>
      <c r="B3" s="270">
        <f>WEEKDAY(A3)</f>
        <v>7</v>
      </c>
      <c r="C3" s="270">
        <f>DAY(A3)</f>
        <v>27</v>
      </c>
      <c r="D3" s="1138" t="str">
        <f>IF(MOD(YEAR(A3),4)=0,"nhuận","không nhuận")</f>
        <v>không nhuận</v>
      </c>
      <c r="E3" s="1138"/>
      <c r="F3" s="135"/>
      <c r="G3" s="135"/>
      <c r="H3" s="135"/>
    </row>
    <row r="5" spans="1:11" ht="15.75">
      <c r="A5" s="265" t="s">
        <v>1221</v>
      </c>
      <c r="B5" s="266"/>
      <c r="C5" s="266"/>
      <c r="D5" s="266"/>
      <c r="E5" s="266"/>
      <c r="F5" s="266"/>
      <c r="G5" s="266"/>
      <c r="H5" s="266"/>
      <c r="I5" s="266"/>
      <c r="J5" s="266"/>
    </row>
    <row r="6" spans="1:11" ht="15.75">
      <c r="A6" s="267" t="s">
        <v>539</v>
      </c>
      <c r="B6" s="266"/>
      <c r="C6" s="266"/>
      <c r="D6" s="266"/>
      <c r="E6" s="266"/>
      <c r="F6" s="266"/>
      <c r="G6" s="266"/>
      <c r="H6" s="266"/>
      <c r="I6" s="266"/>
      <c r="J6" s="266"/>
    </row>
    <row r="7" spans="1:11" ht="15.75">
      <c r="A7" s="267" t="s">
        <v>540</v>
      </c>
      <c r="B7" s="266"/>
      <c r="C7" s="266"/>
      <c r="D7" s="266"/>
      <c r="E7" s="266"/>
      <c r="F7" s="266"/>
      <c r="G7" s="266"/>
      <c r="H7" s="266"/>
      <c r="I7" s="266"/>
      <c r="J7" s="266"/>
    </row>
    <row r="8" spans="1:11" ht="15.75" customHeight="1">
      <c r="A8" s="267" t="s">
        <v>541</v>
      </c>
      <c r="B8" s="266"/>
      <c r="C8" s="266"/>
      <c r="D8" s="266"/>
      <c r="E8" s="266"/>
      <c r="F8" s="266"/>
      <c r="G8" s="266"/>
      <c r="H8" s="266"/>
      <c r="I8" s="266"/>
      <c r="J8" s="266"/>
    </row>
    <row r="9" spans="1:11" ht="15.75">
      <c r="A9" s="267" t="s">
        <v>542</v>
      </c>
      <c r="B9" s="266"/>
      <c r="C9" s="266"/>
      <c r="D9" s="266"/>
      <c r="E9" s="266"/>
      <c r="F9" s="266"/>
      <c r="G9" s="266"/>
      <c r="H9" s="266"/>
      <c r="I9" s="266"/>
      <c r="J9" s="266"/>
    </row>
    <row r="10" spans="1:11" ht="15.75">
      <c r="A10" s="267" t="s">
        <v>543</v>
      </c>
      <c r="B10" s="266"/>
      <c r="C10" s="266"/>
      <c r="D10" s="266"/>
      <c r="E10" s="266"/>
      <c r="F10" s="266"/>
      <c r="G10" s="266"/>
      <c r="H10" s="266"/>
      <c r="I10" s="266"/>
      <c r="J10" s="266"/>
    </row>
    <row r="11" spans="1:11" ht="15.75">
      <c r="A11" s="267" t="s">
        <v>544</v>
      </c>
      <c r="B11" s="266"/>
      <c r="C11" s="266"/>
      <c r="D11" s="266"/>
      <c r="E11" s="266"/>
      <c r="F11" s="266"/>
      <c r="G11" s="266"/>
      <c r="H11" s="266"/>
      <c r="I11" s="266"/>
      <c r="J11" s="266"/>
    </row>
    <row r="12" spans="1:11" ht="15.75" customHeight="1">
      <c r="A12" s="266"/>
      <c r="B12" s="267" t="s">
        <v>545</v>
      </c>
      <c r="C12" s="266"/>
      <c r="D12" s="266"/>
      <c r="E12" s="266"/>
      <c r="F12" s="266"/>
      <c r="G12" s="266"/>
      <c r="H12" s="266"/>
      <c r="I12" s="266"/>
      <c r="J12" s="266"/>
    </row>
    <row r="13" spans="1:11" ht="15.75" customHeight="1">
      <c r="A13" s="267" t="s">
        <v>546</v>
      </c>
      <c r="B13" s="266"/>
      <c r="C13" s="266"/>
      <c r="D13" s="266"/>
      <c r="E13" s="266"/>
      <c r="F13" s="266"/>
      <c r="G13" s="266"/>
      <c r="H13" s="266"/>
      <c r="I13" s="266"/>
      <c r="J13" s="266"/>
    </row>
    <row r="14" spans="1:11" ht="15.75" customHeight="1">
      <c r="A14" s="266"/>
      <c r="B14" s="267" t="s">
        <v>547</v>
      </c>
      <c r="C14" s="266"/>
      <c r="D14" s="266"/>
      <c r="E14" s="266"/>
      <c r="F14" s="266"/>
      <c r="G14" s="266"/>
      <c r="H14" s="266"/>
      <c r="I14" s="266"/>
      <c r="J14" s="266"/>
    </row>
    <row r="15" spans="1:11" ht="15.75" customHeight="1">
      <c r="A15" s="266"/>
      <c r="B15" s="267" t="s">
        <v>548</v>
      </c>
      <c r="C15" s="266"/>
      <c r="D15" s="266"/>
      <c r="E15" s="266"/>
      <c r="F15" s="266"/>
      <c r="G15" s="266"/>
      <c r="H15" s="266"/>
      <c r="I15" s="266"/>
      <c r="J15" s="266"/>
    </row>
    <row r="16" spans="1:11" ht="15.75">
      <c r="A16" s="267" t="s">
        <v>549</v>
      </c>
      <c r="B16" s="266"/>
      <c r="C16" s="266"/>
      <c r="D16" s="266"/>
      <c r="E16" s="266"/>
      <c r="F16" s="266"/>
      <c r="G16" s="266"/>
      <c r="H16" s="266"/>
      <c r="I16" s="266"/>
      <c r="J16" s="266"/>
    </row>
    <row r="17" spans="1:10" ht="15.75" customHeight="1">
      <c r="A17" s="267" t="s">
        <v>550</v>
      </c>
      <c r="B17" s="266"/>
      <c r="C17" s="266"/>
      <c r="D17" s="266"/>
      <c r="E17" s="266"/>
      <c r="F17" s="266"/>
      <c r="G17" s="266"/>
      <c r="H17" s="266"/>
      <c r="I17" s="266"/>
      <c r="J17" s="266"/>
    </row>
    <row r="18" spans="1:10" ht="15.75">
      <c r="A18" s="264"/>
    </row>
  </sheetData>
  <mergeCells count="3">
    <mergeCell ref="D3:E3"/>
    <mergeCell ref="A1:E1"/>
    <mergeCell ref="D2:E2"/>
  </mergeCells>
  <phoneticPr fontId="141" type="noConversion"/>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C00C5-6660-4BDA-8E97-3CF08241FF4F}">
  <dimension ref="A1:R38"/>
  <sheetViews>
    <sheetView workbookViewId="0">
      <selection activeCell="O1" sqref="O1"/>
    </sheetView>
  </sheetViews>
  <sheetFormatPr defaultRowHeight="15.75"/>
  <cols>
    <col min="1" max="1" width="3.5703125" style="104" bestFit="1" customWidth="1"/>
    <col min="2" max="2" width="18.7109375" style="104" customWidth="1"/>
    <col min="3" max="3" width="11.28515625" style="104" bestFit="1" customWidth="1"/>
    <col min="4" max="4" width="10" style="104" customWidth="1"/>
    <col min="5" max="5" width="9.28515625" style="104" bestFit="1" customWidth="1"/>
    <col min="6" max="10" width="9.28515625" style="104" customWidth="1"/>
    <col min="11" max="11" width="8.42578125" style="104" customWidth="1"/>
    <col min="12" max="12" width="10.140625" style="104" customWidth="1"/>
    <col min="13" max="13" width="14" style="104" customWidth="1"/>
    <col min="14" max="16384" width="9.140625" style="104"/>
  </cols>
  <sheetData>
    <row r="1" spans="1:17">
      <c r="A1" s="1143" t="s">
        <v>551</v>
      </c>
      <c r="B1" s="1143"/>
      <c r="C1" s="1143"/>
      <c r="D1" s="1143"/>
      <c r="E1" s="1143"/>
      <c r="F1" s="1143"/>
      <c r="G1" s="1143"/>
      <c r="H1" s="1143"/>
      <c r="I1" s="1143"/>
      <c r="J1" s="1143"/>
      <c r="K1" s="1143"/>
      <c r="L1" s="1143"/>
      <c r="M1" s="1143"/>
      <c r="O1" s="104" t="s">
        <v>1991</v>
      </c>
      <c r="P1" s="886"/>
      <c r="Q1" s="145"/>
    </row>
    <row r="2" spans="1:17" ht="31.5">
      <c r="A2" s="276" t="s">
        <v>552</v>
      </c>
      <c r="B2" s="276" t="s">
        <v>553</v>
      </c>
      <c r="C2" s="276" t="s">
        <v>554</v>
      </c>
      <c r="D2" s="276" t="s">
        <v>1292</v>
      </c>
      <c r="E2" s="276" t="s">
        <v>1144</v>
      </c>
      <c r="F2" s="276" t="s">
        <v>1145</v>
      </c>
      <c r="G2" s="276" t="s">
        <v>450</v>
      </c>
      <c r="H2" s="276" t="s">
        <v>555</v>
      </c>
      <c r="I2" s="276" t="s">
        <v>451</v>
      </c>
      <c r="J2" s="276" t="s">
        <v>452</v>
      </c>
      <c r="K2" s="276" t="s">
        <v>1080</v>
      </c>
      <c r="L2" s="277" t="s">
        <v>556</v>
      </c>
      <c r="M2" s="277" t="s">
        <v>557</v>
      </c>
    </row>
    <row r="3" spans="1:17">
      <c r="A3" s="278">
        <v>3</v>
      </c>
      <c r="B3" s="278" t="s">
        <v>558</v>
      </c>
      <c r="C3" s="279">
        <v>33430</v>
      </c>
      <c r="D3" s="280">
        <v>8.3000000000000007</v>
      </c>
      <c r="E3" s="280">
        <v>7.6</v>
      </c>
      <c r="F3" s="280">
        <v>9.1999999999999993</v>
      </c>
      <c r="G3" s="280">
        <v>8.3000000000000007</v>
      </c>
      <c r="H3" s="280">
        <v>8</v>
      </c>
      <c r="I3" s="280">
        <v>8</v>
      </c>
      <c r="J3" s="280">
        <v>8</v>
      </c>
      <c r="K3" s="281">
        <f t="shared" ref="K3:K12" si="0">(D3*2+E3+F3+G3+H3*2+I3+J3)/9</f>
        <v>8.18888888888889</v>
      </c>
      <c r="L3" s="282" t="str">
        <f>IF(AND(COUNTIF(C3:J3,"&gt;=8,0")&gt;5,MIN(D3:J3)&gt;=6.5),"GIỎI",IF(AND(COUNTIF(C3:J3,"&gt;=6,5")&gt;5,MIN(D3:J3)&gt;=5),"KHÁ",IF(AND(COUNTIF(C3:J3,"&gt;=5,0")&gt;5,MIN(D3:J3)&gt;=3.5),"TB","YẾU")))</f>
        <v>YẾU</v>
      </c>
      <c r="M3" s="282" t="str">
        <f t="shared" ref="M3:M12" si="1">IF(L3="GIỎI","15 Quyển tập",IF(L3="KHÁ","5 Quyển tập",""))</f>
        <v/>
      </c>
    </row>
    <row r="4" spans="1:17">
      <c r="A4" s="278">
        <v>4</v>
      </c>
      <c r="B4" s="278" t="s">
        <v>559</v>
      </c>
      <c r="C4" s="279">
        <v>33069</v>
      </c>
      <c r="D4" s="280">
        <v>9</v>
      </c>
      <c r="E4" s="280">
        <v>3.7</v>
      </c>
      <c r="F4" s="280">
        <v>6.4</v>
      </c>
      <c r="G4" s="280">
        <v>8.5</v>
      </c>
      <c r="H4" s="280">
        <v>9</v>
      </c>
      <c r="I4" s="280">
        <v>8</v>
      </c>
      <c r="J4" s="280">
        <v>6</v>
      </c>
      <c r="K4" s="281">
        <f t="shared" si="0"/>
        <v>7.6222222222222218</v>
      </c>
      <c r="L4" s="282" t="str">
        <f t="shared" ref="L4:L12" si="2">IF(AND(COUNTIF(C4:J4,"&gt;=8,0")&gt;5,MIN(D4:J4)&gt;=6.5),"GIỎI",IF(AND(COUNTIF(C4:J4,"&gt;=6,5")&gt;5,MIN(D4:J4)&gt;=5),"KHÁ",IF(AND(COUNTIF(C4:J4,"&gt;=5,0")&gt;5,MIN(D4:J4)&gt;=3.5),"TB","YẾU")))</f>
        <v>YẾU</v>
      </c>
      <c r="M4" s="282" t="str">
        <f t="shared" si="1"/>
        <v/>
      </c>
    </row>
    <row r="5" spans="1:17">
      <c r="A5" s="278">
        <v>5</v>
      </c>
      <c r="B5" s="278" t="s">
        <v>560</v>
      </c>
      <c r="C5" s="279">
        <v>33817</v>
      </c>
      <c r="D5" s="280">
        <v>6.5</v>
      </c>
      <c r="E5" s="280">
        <v>9.1</v>
      </c>
      <c r="F5" s="280">
        <v>6.7</v>
      </c>
      <c r="G5" s="280">
        <v>8.9</v>
      </c>
      <c r="H5" s="280">
        <v>6</v>
      </c>
      <c r="I5" s="280">
        <v>7</v>
      </c>
      <c r="J5" s="280">
        <v>7</v>
      </c>
      <c r="K5" s="281">
        <f t="shared" si="0"/>
        <v>7.0777777777777784</v>
      </c>
      <c r="L5" s="282" t="str">
        <f t="shared" si="2"/>
        <v>YẾU</v>
      </c>
      <c r="M5" s="282" t="str">
        <f t="shared" si="1"/>
        <v/>
      </c>
    </row>
    <row r="6" spans="1:17">
      <c r="A6" s="278">
        <v>6</v>
      </c>
      <c r="B6" s="278" t="s">
        <v>561</v>
      </c>
      <c r="C6" s="279">
        <v>33451</v>
      </c>
      <c r="D6" s="280">
        <v>6</v>
      </c>
      <c r="E6" s="280">
        <v>8</v>
      </c>
      <c r="F6" s="280">
        <v>5.7</v>
      </c>
      <c r="G6" s="280">
        <v>7.8</v>
      </c>
      <c r="H6" s="280">
        <v>8</v>
      </c>
      <c r="I6" s="280">
        <v>6</v>
      </c>
      <c r="J6" s="280">
        <v>7</v>
      </c>
      <c r="K6" s="281">
        <f t="shared" si="0"/>
        <v>6.9444444444444446</v>
      </c>
      <c r="L6" s="282" t="str">
        <f t="shared" si="2"/>
        <v>YẾU</v>
      </c>
      <c r="M6" s="282" t="str">
        <f t="shared" si="1"/>
        <v/>
      </c>
    </row>
    <row r="7" spans="1:17">
      <c r="A7" s="278">
        <v>7</v>
      </c>
      <c r="B7" s="278" t="s">
        <v>562</v>
      </c>
      <c r="C7" s="279">
        <v>33090</v>
      </c>
      <c r="D7" s="280">
        <v>7</v>
      </c>
      <c r="E7" s="280">
        <v>3.9</v>
      </c>
      <c r="F7" s="280">
        <v>7.5</v>
      </c>
      <c r="G7" s="280">
        <v>5.4</v>
      </c>
      <c r="H7" s="280">
        <v>7</v>
      </c>
      <c r="I7" s="280">
        <v>7</v>
      </c>
      <c r="J7" s="280">
        <v>9</v>
      </c>
      <c r="K7" s="281">
        <f t="shared" si="0"/>
        <v>6.7555555555555555</v>
      </c>
      <c r="L7" s="282" t="str">
        <f t="shared" si="2"/>
        <v>YẾU</v>
      </c>
      <c r="M7" s="282" t="str">
        <f t="shared" si="1"/>
        <v/>
      </c>
    </row>
    <row r="8" spans="1:17">
      <c r="A8" s="278">
        <v>8</v>
      </c>
      <c r="B8" s="278" t="s">
        <v>563</v>
      </c>
      <c r="C8" s="279">
        <v>33457</v>
      </c>
      <c r="D8" s="280">
        <v>7.5</v>
      </c>
      <c r="E8" s="280">
        <v>5.7</v>
      </c>
      <c r="F8" s="280">
        <v>6.7</v>
      </c>
      <c r="G8" s="280">
        <v>6.7</v>
      </c>
      <c r="H8" s="280">
        <v>7</v>
      </c>
      <c r="I8" s="280">
        <v>9</v>
      </c>
      <c r="J8" s="280">
        <v>3</v>
      </c>
      <c r="K8" s="281">
        <f t="shared" si="0"/>
        <v>6.677777777777778</v>
      </c>
      <c r="L8" s="282" t="str">
        <f t="shared" si="2"/>
        <v>YẾU</v>
      </c>
      <c r="M8" s="282" t="str">
        <f t="shared" si="1"/>
        <v/>
      </c>
    </row>
    <row r="9" spans="1:17">
      <c r="A9" s="278">
        <v>9</v>
      </c>
      <c r="B9" s="278" t="s">
        <v>564</v>
      </c>
      <c r="C9" s="279">
        <v>33470</v>
      </c>
      <c r="D9" s="280">
        <v>8</v>
      </c>
      <c r="E9" s="280">
        <v>8.4</v>
      </c>
      <c r="F9" s="280">
        <v>7.6</v>
      </c>
      <c r="G9" s="280">
        <v>8.4</v>
      </c>
      <c r="H9" s="280">
        <v>3</v>
      </c>
      <c r="I9" s="280">
        <v>2</v>
      </c>
      <c r="J9" s="280">
        <v>8</v>
      </c>
      <c r="K9" s="281">
        <f t="shared" si="0"/>
        <v>6.2666666666666666</v>
      </c>
      <c r="L9" s="282" t="str">
        <f t="shared" si="2"/>
        <v>YẾU</v>
      </c>
      <c r="M9" s="282" t="str">
        <f t="shared" si="1"/>
        <v/>
      </c>
    </row>
    <row r="10" spans="1:17">
      <c r="A10" s="278">
        <v>10</v>
      </c>
      <c r="B10" s="278" t="s">
        <v>565</v>
      </c>
      <c r="C10" s="279">
        <v>33841</v>
      </c>
      <c r="D10" s="280">
        <v>6</v>
      </c>
      <c r="E10" s="280">
        <v>3.6</v>
      </c>
      <c r="F10" s="280">
        <v>4.8</v>
      </c>
      <c r="G10" s="280">
        <v>3.6</v>
      </c>
      <c r="H10" s="280">
        <v>6</v>
      </c>
      <c r="I10" s="280">
        <v>7</v>
      </c>
      <c r="J10" s="280">
        <v>5</v>
      </c>
      <c r="K10" s="281">
        <f t="shared" si="0"/>
        <v>5.333333333333333</v>
      </c>
      <c r="L10" s="282" t="str">
        <f t="shared" si="2"/>
        <v>YẾU</v>
      </c>
      <c r="M10" s="282" t="str">
        <f t="shared" si="1"/>
        <v/>
      </c>
    </row>
    <row r="11" spans="1:17">
      <c r="A11" s="278">
        <v>2</v>
      </c>
      <c r="B11" s="278" t="s">
        <v>566</v>
      </c>
      <c r="C11" s="279">
        <v>33416</v>
      </c>
      <c r="D11" s="280">
        <v>2</v>
      </c>
      <c r="E11" s="280"/>
      <c r="F11" s="280">
        <v>8.4</v>
      </c>
      <c r="G11" s="280">
        <v>4.7</v>
      </c>
      <c r="H11" s="280">
        <v>5</v>
      </c>
      <c r="I11" s="280">
        <v>6</v>
      </c>
      <c r="J11" s="280">
        <v>4</v>
      </c>
      <c r="K11" s="281">
        <f t="shared" si="0"/>
        <v>4.1222222222222227</v>
      </c>
      <c r="L11" s="282" t="str">
        <f t="shared" si="2"/>
        <v>YẾU</v>
      </c>
      <c r="M11" s="282" t="str">
        <f t="shared" si="1"/>
        <v/>
      </c>
    </row>
    <row r="12" spans="1:17">
      <c r="A12" s="278">
        <v>1</v>
      </c>
      <c r="B12" s="278" t="s">
        <v>567</v>
      </c>
      <c r="C12" s="279">
        <v>33046</v>
      </c>
      <c r="D12" s="280"/>
      <c r="E12" s="280">
        <v>4.8</v>
      </c>
      <c r="F12" s="280">
        <v>4.8</v>
      </c>
      <c r="G12" s="280">
        <v>7.4</v>
      </c>
      <c r="H12" s="280">
        <v>4</v>
      </c>
      <c r="I12" s="280">
        <v>4</v>
      </c>
      <c r="J12" s="280">
        <v>2</v>
      </c>
      <c r="K12" s="281">
        <f t="shared" si="0"/>
        <v>3.4444444444444446</v>
      </c>
      <c r="L12" s="282" t="str">
        <f t="shared" si="2"/>
        <v>YẾU</v>
      </c>
      <c r="M12" s="282" t="str">
        <f t="shared" si="1"/>
        <v/>
      </c>
    </row>
    <row r="15" spans="1:17">
      <c r="A15" s="1143" t="s">
        <v>568</v>
      </c>
      <c r="B15" s="1143"/>
      <c r="C15" s="1143"/>
      <c r="D15" s="1143"/>
      <c r="E15" s="1143"/>
      <c r="G15" s="1144" t="s">
        <v>569</v>
      </c>
      <c r="H15" s="1145"/>
      <c r="I15" s="1145"/>
      <c r="J15" s="1146"/>
    </row>
    <row r="16" spans="1:17">
      <c r="A16" s="1147" t="s">
        <v>570</v>
      </c>
      <c r="B16" s="1147"/>
      <c r="C16" s="1147"/>
      <c r="D16" s="1147"/>
      <c r="E16" s="277" t="s">
        <v>571</v>
      </c>
      <c r="G16" s="276" t="s">
        <v>1092</v>
      </c>
      <c r="H16" s="276" t="s">
        <v>1091</v>
      </c>
      <c r="I16" s="276" t="s">
        <v>572</v>
      </c>
      <c r="J16" s="276" t="s">
        <v>573</v>
      </c>
    </row>
    <row r="17" spans="1:18" ht="28.5" customHeight="1">
      <c r="A17" s="1148" t="s">
        <v>574</v>
      </c>
      <c r="B17" s="1149"/>
      <c r="C17" s="1149"/>
      <c r="D17" s="1150"/>
      <c r="E17" s="283" t="s">
        <v>1092</v>
      </c>
      <c r="G17" s="284">
        <f>COUNTIF($L$3:$L$12,G16)</f>
        <v>0</v>
      </c>
      <c r="H17" s="284">
        <f>COUNTIF($L$3:$L$12,H16)</f>
        <v>0</v>
      </c>
      <c r="I17" s="284">
        <f>COUNTIF($L$3:$L$12,I16)</f>
        <v>0</v>
      </c>
      <c r="J17" s="284">
        <f>COUNTIF($L$3:$L$12,J16)</f>
        <v>10</v>
      </c>
    </row>
    <row r="18" spans="1:18" ht="30" customHeight="1">
      <c r="A18" s="1141" t="s">
        <v>575</v>
      </c>
      <c r="B18" s="1141"/>
      <c r="C18" s="1141"/>
      <c r="D18" s="1141"/>
      <c r="E18" s="283" t="s">
        <v>1091</v>
      </c>
    </row>
    <row r="19" spans="1:18" ht="33" customHeight="1">
      <c r="A19" s="1141" t="s">
        <v>576</v>
      </c>
      <c r="B19" s="1141"/>
      <c r="C19" s="1141"/>
      <c r="D19" s="1141"/>
      <c r="E19" s="283" t="s">
        <v>572</v>
      </c>
    </row>
    <row r="20" spans="1:18">
      <c r="A20" s="1142" t="s">
        <v>577</v>
      </c>
      <c r="B20" s="1142"/>
      <c r="C20" s="1142"/>
      <c r="D20" s="1142"/>
      <c r="E20" s="283" t="s">
        <v>573</v>
      </c>
    </row>
    <row r="21" spans="1:18">
      <c r="A21" s="287"/>
      <c r="B21" s="287"/>
      <c r="C21" s="287"/>
      <c r="D21" s="287"/>
      <c r="E21" s="243"/>
      <c r="F21" s="131"/>
    </row>
    <row r="22" spans="1:18">
      <c r="A22" s="287"/>
      <c r="B22" s="287"/>
      <c r="C22" s="287"/>
      <c r="D22" s="287"/>
      <c r="E22" s="243"/>
      <c r="F22" s="131"/>
    </row>
    <row r="24" spans="1:18">
      <c r="B24" s="285" t="s">
        <v>112</v>
      </c>
    </row>
    <row r="25" spans="1:18">
      <c r="B25" s="286" t="b">
        <f>OR(L3="GIỎI",L3="KHÁ")</f>
        <v>0</v>
      </c>
    </row>
    <row r="27" spans="1:18" ht="31.5">
      <c r="A27" s="276" t="s">
        <v>552</v>
      </c>
      <c r="B27" s="276" t="s">
        <v>553</v>
      </c>
      <c r="C27" s="276" t="s">
        <v>554</v>
      </c>
      <c r="D27" s="276" t="s">
        <v>1292</v>
      </c>
      <c r="E27" s="276" t="s">
        <v>1144</v>
      </c>
      <c r="F27" s="276" t="s">
        <v>1145</v>
      </c>
      <c r="G27" s="276" t="s">
        <v>450</v>
      </c>
      <c r="H27" s="276" t="s">
        <v>555</v>
      </c>
      <c r="I27" s="276" t="s">
        <v>451</v>
      </c>
      <c r="J27" s="276" t="s">
        <v>452</v>
      </c>
      <c r="K27" s="276" t="s">
        <v>1080</v>
      </c>
      <c r="L27" s="277" t="s">
        <v>556</v>
      </c>
      <c r="M27" s="277" t="s">
        <v>557</v>
      </c>
    </row>
    <row r="28" spans="1:18">
      <c r="A28" s="278">
        <v>3</v>
      </c>
      <c r="B28" s="278" t="s">
        <v>558</v>
      </c>
      <c r="C28" s="279">
        <v>33430</v>
      </c>
      <c r="D28" s="280">
        <v>8.3000000000000007</v>
      </c>
      <c r="E28" s="280">
        <v>7.6</v>
      </c>
      <c r="F28" s="280">
        <v>9.1999999999999993</v>
      </c>
      <c r="G28" s="280">
        <v>8.3000000000000007</v>
      </c>
      <c r="H28" s="280">
        <v>8</v>
      </c>
      <c r="I28" s="280">
        <v>8</v>
      </c>
      <c r="J28" s="280">
        <v>8</v>
      </c>
      <c r="K28" s="281">
        <v>8.18888888888889</v>
      </c>
      <c r="L28" s="282" t="s">
        <v>578</v>
      </c>
      <c r="M28" s="282" t="s">
        <v>579</v>
      </c>
    </row>
    <row r="29" spans="1:18">
      <c r="A29" s="278">
        <v>5</v>
      </c>
      <c r="B29" s="278" t="s">
        <v>560</v>
      </c>
      <c r="C29" s="279">
        <v>33817</v>
      </c>
      <c r="D29" s="280">
        <v>6.5</v>
      </c>
      <c r="E29" s="280">
        <v>9.1</v>
      </c>
      <c r="F29" s="280">
        <v>6.7</v>
      </c>
      <c r="G29" s="280">
        <v>8.9</v>
      </c>
      <c r="H29" s="280">
        <v>6</v>
      </c>
      <c r="I29" s="280">
        <v>7</v>
      </c>
      <c r="J29" s="280">
        <v>7</v>
      </c>
      <c r="K29" s="281">
        <v>7.0777777777777784</v>
      </c>
      <c r="L29" s="282" t="s">
        <v>580</v>
      </c>
      <c r="M29" s="282" t="s">
        <v>581</v>
      </c>
    </row>
    <row r="30" spans="1:18" ht="16.5">
      <c r="A30" s="288" t="s">
        <v>582</v>
      </c>
      <c r="B30" s="289"/>
      <c r="C30" s="289"/>
      <c r="D30" s="289"/>
      <c r="E30" s="289"/>
      <c r="F30" s="289"/>
      <c r="G30" s="289"/>
      <c r="H30" s="289"/>
      <c r="I30" s="289"/>
      <c r="J30" s="289"/>
      <c r="K30" s="289"/>
      <c r="L30" s="289"/>
      <c r="M30" s="289"/>
      <c r="N30" s="289"/>
      <c r="O30" s="289"/>
      <c r="P30" s="289"/>
      <c r="Q30" s="289"/>
      <c r="R30"/>
    </row>
    <row r="31" spans="1:18" ht="16.5">
      <c r="A31" s="290" t="s">
        <v>583</v>
      </c>
      <c r="B31" s="289"/>
      <c r="C31" s="289"/>
      <c r="D31" s="289"/>
      <c r="E31" s="289"/>
      <c r="F31" s="289"/>
      <c r="G31" s="289"/>
      <c r="H31" s="289"/>
      <c r="I31" s="289"/>
      <c r="J31" s="289"/>
      <c r="K31" s="289"/>
      <c r="L31" s="289"/>
      <c r="M31" s="289"/>
      <c r="N31" s="289"/>
      <c r="O31" s="289"/>
      <c r="P31" s="289"/>
      <c r="Q31" s="289"/>
      <c r="R31"/>
    </row>
    <row r="32" spans="1:18" ht="16.5">
      <c r="A32" s="290" t="s">
        <v>584</v>
      </c>
      <c r="B32" s="289"/>
      <c r="C32" s="289"/>
      <c r="D32" s="289"/>
      <c r="E32" s="289"/>
      <c r="F32" s="289"/>
      <c r="G32" s="289"/>
      <c r="H32" s="289"/>
      <c r="I32" s="289"/>
      <c r="J32" s="289"/>
      <c r="K32" s="289"/>
      <c r="L32" s="289"/>
      <c r="M32" s="289"/>
      <c r="N32" s="289"/>
      <c r="O32" s="289"/>
      <c r="P32" s="289"/>
      <c r="Q32" s="289"/>
      <c r="R32"/>
    </row>
    <row r="33" spans="1:18" ht="16.5">
      <c r="A33" s="290" t="s">
        <v>585</v>
      </c>
      <c r="B33" s="289"/>
      <c r="C33" s="289"/>
      <c r="D33" s="289"/>
      <c r="E33" s="289"/>
      <c r="F33" s="289"/>
      <c r="G33" s="289"/>
      <c r="H33" s="289"/>
      <c r="I33" s="289"/>
      <c r="J33" s="289"/>
      <c r="K33" s="289"/>
      <c r="L33" s="289"/>
      <c r="M33" s="289"/>
      <c r="N33" s="289"/>
      <c r="O33" s="289"/>
      <c r="P33" s="289"/>
      <c r="Q33" s="289"/>
      <c r="R33"/>
    </row>
    <row r="34" spans="1:18" ht="16.5">
      <c r="A34" s="290" t="s">
        <v>586</v>
      </c>
      <c r="B34" s="289"/>
      <c r="C34" s="289"/>
      <c r="D34" s="289"/>
      <c r="E34" s="289"/>
      <c r="F34" s="289"/>
      <c r="G34" s="289"/>
      <c r="H34" s="289"/>
      <c r="I34" s="289"/>
      <c r="J34" s="289"/>
      <c r="K34" s="289"/>
      <c r="L34" s="289"/>
      <c r="M34" s="289"/>
      <c r="N34" s="289"/>
      <c r="O34" s="289"/>
      <c r="P34" s="289"/>
      <c r="Q34" s="289"/>
      <c r="R34"/>
    </row>
    <row r="35" spans="1:18" ht="16.5">
      <c r="A35" s="290" t="s">
        <v>587</v>
      </c>
      <c r="B35" s="289"/>
      <c r="C35" s="289"/>
      <c r="D35" s="289"/>
      <c r="E35" s="289"/>
      <c r="F35" s="289"/>
      <c r="G35" s="289"/>
      <c r="H35" s="289"/>
      <c r="I35" s="289"/>
      <c r="J35" s="289"/>
      <c r="K35" s="289"/>
      <c r="L35" s="289"/>
      <c r="M35" s="289"/>
      <c r="N35" s="289"/>
      <c r="O35" s="289"/>
      <c r="P35" s="289"/>
      <c r="Q35" s="289"/>
      <c r="R35"/>
    </row>
    <row r="36" spans="1:18" ht="16.5">
      <c r="A36" s="290" t="s">
        <v>588</v>
      </c>
      <c r="B36" s="289"/>
      <c r="C36" s="289"/>
      <c r="D36" s="289"/>
      <c r="E36" s="289"/>
      <c r="F36" s="289"/>
      <c r="G36" s="289"/>
      <c r="H36" s="289"/>
      <c r="I36" s="289"/>
      <c r="J36" s="289"/>
      <c r="K36" s="289"/>
      <c r="L36" s="289"/>
      <c r="M36" s="289"/>
      <c r="N36" s="289"/>
      <c r="O36" s="289"/>
      <c r="P36" s="289"/>
      <c r="Q36" s="289"/>
      <c r="R36"/>
    </row>
    <row r="37" spans="1:18" ht="16.5">
      <c r="A37" s="290" t="s">
        <v>589</v>
      </c>
      <c r="B37" s="289"/>
      <c r="C37" s="289"/>
      <c r="D37" s="289"/>
      <c r="E37" s="289"/>
      <c r="F37" s="289"/>
      <c r="G37" s="289"/>
      <c r="H37" s="289"/>
      <c r="I37" s="289"/>
      <c r="J37" s="289"/>
      <c r="K37" s="289"/>
      <c r="L37" s="289"/>
      <c r="M37" s="289"/>
      <c r="N37" s="289"/>
      <c r="O37" s="289"/>
      <c r="P37" s="289"/>
      <c r="Q37" s="289"/>
      <c r="R37"/>
    </row>
    <row r="38" spans="1:18" ht="16.5">
      <c r="A38" s="290" t="s">
        <v>590</v>
      </c>
      <c r="B38" s="289"/>
      <c r="C38" s="289"/>
      <c r="D38" s="289"/>
      <c r="E38" s="289"/>
      <c r="F38" s="289"/>
      <c r="G38" s="289"/>
      <c r="H38" s="289"/>
      <c r="I38" s="289"/>
      <c r="J38" s="289"/>
      <c r="K38" s="289"/>
      <c r="L38" s="289"/>
      <c r="M38" s="289"/>
      <c r="N38" s="289"/>
      <c r="O38" s="289"/>
      <c r="P38" s="289"/>
      <c r="Q38" s="289"/>
      <c r="R38"/>
    </row>
  </sheetData>
  <mergeCells count="8">
    <mergeCell ref="A19:D19"/>
    <mergeCell ref="A20:D20"/>
    <mergeCell ref="A1:M1"/>
    <mergeCell ref="A15:E15"/>
    <mergeCell ref="G15:J15"/>
    <mergeCell ref="A16:D16"/>
    <mergeCell ref="A17:D17"/>
    <mergeCell ref="A18:D18"/>
  </mergeCells>
  <phoneticPr fontId="141"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1323A-1AE9-427F-9EA3-1A8E8A6CB999}">
  <dimension ref="A1:M27"/>
  <sheetViews>
    <sheetView workbookViewId="0">
      <selection activeCell="L1" sqref="L1"/>
    </sheetView>
  </sheetViews>
  <sheetFormatPr defaultRowHeight="15.75" outlineLevelRow="2"/>
  <cols>
    <col min="1" max="1" width="11.42578125" style="104" customWidth="1"/>
    <col min="2" max="2" width="12.7109375" style="104" customWidth="1"/>
    <col min="3" max="3" width="13.140625" style="308" customWidth="1"/>
    <col min="4" max="4" width="11.28515625" style="104" customWidth="1"/>
    <col min="5" max="5" width="10" style="104" customWidth="1"/>
    <col min="6" max="6" width="8.5703125" style="104" customWidth="1"/>
    <col min="7" max="7" width="11.85546875" style="104" customWidth="1"/>
    <col min="8" max="8" width="11.7109375" style="104" bestFit="1" customWidth="1"/>
    <col min="9" max="9" width="9.140625" style="104"/>
    <col min="10" max="10" width="10.5703125" style="104" customWidth="1"/>
    <col min="11" max="11" width="13" style="104" customWidth="1"/>
    <col min="12" max="12" width="12.28515625" style="104" customWidth="1"/>
    <col min="13" max="13" width="10.85546875" style="104" customWidth="1"/>
    <col min="14" max="16384" width="9.140625" style="104"/>
  </cols>
  <sheetData>
    <row r="1" spans="1:13" ht="16.5" thickBot="1">
      <c r="A1" s="1000" t="s">
        <v>591</v>
      </c>
      <c r="B1" s="1000"/>
      <c r="C1" s="1000"/>
      <c r="D1" s="1000"/>
      <c r="E1" s="1000"/>
      <c r="F1" s="1000"/>
      <c r="G1" s="1000"/>
      <c r="H1" s="320"/>
      <c r="L1" s="886" t="s">
        <v>1991</v>
      </c>
      <c r="M1" s="145"/>
    </row>
    <row r="2" spans="1:13" ht="17.25" thickTop="1" thickBot="1">
      <c r="A2" s="292" t="s">
        <v>592</v>
      </c>
      <c r="B2" s="293" t="s">
        <v>593</v>
      </c>
      <c r="C2" s="293" t="s">
        <v>505</v>
      </c>
      <c r="D2" s="293" t="s">
        <v>504</v>
      </c>
      <c r="E2" s="293" t="s">
        <v>1486</v>
      </c>
      <c r="F2" s="293" t="s">
        <v>1061</v>
      </c>
      <c r="G2" s="294" t="s">
        <v>195</v>
      </c>
      <c r="I2" s="999" t="s">
        <v>594</v>
      </c>
      <c r="J2" s="999"/>
    </row>
    <row r="3" spans="1:13" ht="16.5" outlineLevel="2" thickTop="1">
      <c r="A3" s="108" t="s">
        <v>595</v>
      </c>
      <c r="B3" s="295">
        <v>1</v>
      </c>
      <c r="C3" s="109">
        <v>345</v>
      </c>
      <c r="D3" s="109">
        <v>235</v>
      </c>
      <c r="E3" s="682">
        <f>(C3*D3)</f>
        <v>81075</v>
      </c>
      <c r="F3" s="682">
        <f>E3*VLOOKUP(B3,$I$4:$J$7,2,0)</f>
        <v>6486</v>
      </c>
      <c r="G3" s="683">
        <f>ROUND((E3+F3),-2)</f>
        <v>87600</v>
      </c>
      <c r="I3" s="296" t="s">
        <v>596</v>
      </c>
      <c r="J3" s="297" t="s">
        <v>597</v>
      </c>
    </row>
    <row r="4" spans="1:13" outlineLevel="2">
      <c r="A4" s="108" t="s">
        <v>598</v>
      </c>
      <c r="B4" s="295">
        <v>1</v>
      </c>
      <c r="C4" s="109">
        <v>232</v>
      </c>
      <c r="D4" s="109">
        <v>165</v>
      </c>
      <c r="E4" s="682">
        <f>C4*D4</f>
        <v>38280</v>
      </c>
      <c r="F4" s="682">
        <f>E4*VLOOKUP(B4,$I$4:$J$7,2,0)</f>
        <v>3062.4</v>
      </c>
      <c r="G4" s="683">
        <f>ROUND((E4+F4),-2)</f>
        <v>41300</v>
      </c>
      <c r="I4" s="108">
        <v>1</v>
      </c>
      <c r="J4" s="298">
        <v>0.08</v>
      </c>
    </row>
    <row r="5" spans="1:13" outlineLevel="2">
      <c r="A5" s="108" t="s">
        <v>599</v>
      </c>
      <c r="B5" s="295">
        <v>1</v>
      </c>
      <c r="C5" s="109">
        <v>123</v>
      </c>
      <c r="D5" s="109">
        <v>112</v>
      </c>
      <c r="E5" s="682">
        <f>C5*D5</f>
        <v>13776</v>
      </c>
      <c r="F5" s="682">
        <f>E5*VLOOKUP(B5,$I$4:$J$7,2,0)</f>
        <v>1102.08</v>
      </c>
      <c r="G5" s="683">
        <f>ROUND((E5+F5),-2)</f>
        <v>14900</v>
      </c>
      <c r="I5" s="108">
        <v>2</v>
      </c>
      <c r="J5" s="298">
        <v>0.05</v>
      </c>
    </row>
    <row r="6" spans="1:13" outlineLevel="2">
      <c r="A6" s="108" t="s">
        <v>600</v>
      </c>
      <c r="B6" s="295">
        <v>1</v>
      </c>
      <c r="C6" s="109">
        <v>120</v>
      </c>
      <c r="D6" s="109">
        <v>196</v>
      </c>
      <c r="E6" s="682">
        <f>C6*D6</f>
        <v>23520</v>
      </c>
      <c r="F6" s="682">
        <f>E6*VLOOKUP(B6,$I$4:$J$7,2,0)</f>
        <v>1881.6000000000001</v>
      </c>
      <c r="G6" s="683">
        <f>ROUND((E6+F6),-2)</f>
        <v>25400</v>
      </c>
      <c r="I6" s="108">
        <v>3</v>
      </c>
      <c r="J6" s="298">
        <v>0.03</v>
      </c>
    </row>
    <row r="7" spans="1:13" ht="16.5" outlineLevel="1" thickBot="1">
      <c r="A7" s="318"/>
      <c r="B7" s="300" t="s">
        <v>601</v>
      </c>
      <c r="C7" s="299"/>
      <c r="D7" s="299"/>
      <c r="E7" s="684">
        <f>SUBTOTAL(9,E3:E6)</f>
        <v>156651</v>
      </c>
      <c r="F7" s="684">
        <f>SUBTOTAL(9,F3:F6)</f>
        <v>12532.08</v>
      </c>
      <c r="G7" s="685">
        <f>SUBTOTAL(9,G3:G6)</f>
        <v>169200</v>
      </c>
      <c r="I7" s="110">
        <v>4</v>
      </c>
      <c r="J7" s="301">
        <v>0.02</v>
      </c>
    </row>
    <row r="8" spans="1:13" ht="16.5" outlineLevel="2" thickTop="1">
      <c r="A8" s="108" t="s">
        <v>602</v>
      </c>
      <c r="B8" s="295">
        <v>2</v>
      </c>
      <c r="C8" s="109">
        <v>234</v>
      </c>
      <c r="D8" s="109">
        <v>118</v>
      </c>
      <c r="E8" s="682">
        <f>C8*D8</f>
        <v>27612</v>
      </c>
      <c r="F8" s="682">
        <f>E8*VLOOKUP(B8,$I$4:$J$7,2,0)</f>
        <v>1380.6000000000001</v>
      </c>
      <c r="G8" s="683">
        <f t="shared" ref="G8:G16" si="0">ROUND((E8+F8),-2)</f>
        <v>29000</v>
      </c>
    </row>
    <row r="9" spans="1:13" ht="16.5" outlineLevel="2" thickBot="1">
      <c r="A9" s="108" t="s">
        <v>603</v>
      </c>
      <c r="B9" s="295">
        <v>2</v>
      </c>
      <c r="C9" s="109">
        <v>321</v>
      </c>
      <c r="D9" s="109">
        <v>229</v>
      </c>
      <c r="E9" s="682">
        <f>C9*D9</f>
        <v>73509</v>
      </c>
      <c r="F9" s="682">
        <f>E9*VLOOKUP(B9,$I$4:$J$7,2,0)</f>
        <v>3675.4500000000003</v>
      </c>
      <c r="G9" s="683">
        <f t="shared" si="0"/>
        <v>77200</v>
      </c>
      <c r="I9" s="999" t="s">
        <v>604</v>
      </c>
      <c r="J9" s="999"/>
      <c r="K9" s="999"/>
      <c r="L9" s="999"/>
    </row>
    <row r="10" spans="1:13" ht="16.5" outlineLevel="2" thickTop="1">
      <c r="A10" s="108" t="s">
        <v>605</v>
      </c>
      <c r="B10" s="295">
        <v>2</v>
      </c>
      <c r="C10" s="109">
        <v>232</v>
      </c>
      <c r="D10" s="109">
        <v>200</v>
      </c>
      <c r="E10" s="682">
        <f>C10*D10</f>
        <v>46400</v>
      </c>
      <c r="F10" s="682">
        <f>E10*VLOOKUP(B10,$I$4:$J$7,2,0)</f>
        <v>2320</v>
      </c>
      <c r="G10" s="683">
        <f t="shared" si="0"/>
        <v>48700</v>
      </c>
      <c r="I10" s="296" t="s">
        <v>593</v>
      </c>
      <c r="J10" s="302" t="s">
        <v>1486</v>
      </c>
      <c r="K10" s="302" t="s">
        <v>1061</v>
      </c>
      <c r="L10" s="297" t="s">
        <v>195</v>
      </c>
    </row>
    <row r="11" spans="1:13" outlineLevel="1">
      <c r="A11" s="318"/>
      <c r="B11" s="300" t="s">
        <v>606</v>
      </c>
      <c r="C11" s="299"/>
      <c r="D11" s="299"/>
      <c r="E11" s="684">
        <f>SUBTOTAL(9,E8:E10)</f>
        <v>147521</v>
      </c>
      <c r="F11" s="684">
        <f>SUBTOTAL(9,F8:F10)</f>
        <v>7376.05</v>
      </c>
      <c r="G11" s="685">
        <f>SUBTOTAL(9,G8:G10)</f>
        <v>154900</v>
      </c>
      <c r="I11" s="108">
        <v>1</v>
      </c>
      <c r="J11" s="682">
        <f>SUMIF($B$3:$B$18,I11,$E$3:$E$18)</f>
        <v>156651</v>
      </c>
      <c r="K11" s="682">
        <f>SUMIF($B$3:$B$18,I11,$F$3:$F$18)</f>
        <v>12532.08</v>
      </c>
      <c r="L11" s="683">
        <f>SUMIF($B$3:$B$18,I11,$G$3:$G$18)</f>
        <v>169200</v>
      </c>
    </row>
    <row r="12" spans="1:13" outlineLevel="2">
      <c r="A12" s="108" t="s">
        <v>607</v>
      </c>
      <c r="B12" s="295">
        <v>3</v>
      </c>
      <c r="C12" s="109">
        <v>145</v>
      </c>
      <c r="D12" s="109">
        <v>220</v>
      </c>
      <c r="E12" s="682">
        <f>C12*D12</f>
        <v>31900</v>
      </c>
      <c r="F12" s="682">
        <f>E12*VLOOKUP(B12,$I$4:$J$7,2,0)</f>
        <v>957</v>
      </c>
      <c r="G12" s="683">
        <f t="shared" si="0"/>
        <v>32900</v>
      </c>
      <c r="I12" s="108">
        <v>2</v>
      </c>
      <c r="J12" s="682">
        <f>SUMIF($B$3:$B$18,I12,$E$3:$E$18)</f>
        <v>147521</v>
      </c>
      <c r="K12" s="682">
        <f>SUMIF($B$3:$B$18,I12,$F$3:$F$18)</f>
        <v>7376.05</v>
      </c>
      <c r="L12" s="683">
        <f>SUMIF($B$3:$B$18,I12,$G$3:$G$18)</f>
        <v>154900</v>
      </c>
    </row>
    <row r="13" spans="1:13" outlineLevel="2">
      <c r="A13" s="108" t="s">
        <v>608</v>
      </c>
      <c r="B13" s="295">
        <v>3</v>
      </c>
      <c r="C13" s="109">
        <v>244</v>
      </c>
      <c r="D13" s="109">
        <v>245</v>
      </c>
      <c r="E13" s="682">
        <f>C13*D13</f>
        <v>59780</v>
      </c>
      <c r="F13" s="682">
        <f>E13*VLOOKUP(B13,$I$4:$J$7,2,0)</f>
        <v>1793.3999999999999</v>
      </c>
      <c r="G13" s="683">
        <f t="shared" si="0"/>
        <v>61600</v>
      </c>
      <c r="I13" s="108">
        <v>3</v>
      </c>
      <c r="J13" s="682">
        <f>SUMIF($B$3:$B$18,I13,$E$3:$E$18)</f>
        <v>91680</v>
      </c>
      <c r="K13" s="682">
        <f>SUMIF($B$3:$B$18,I13,$F$3:$F$18)</f>
        <v>2750.3999999999996</v>
      </c>
      <c r="L13" s="683">
        <f>SUMIF($B$3:$B$18,I13,$G$3:$G$18)</f>
        <v>94500</v>
      </c>
    </row>
    <row r="14" spans="1:13" ht="16.5" outlineLevel="1" thickBot="1">
      <c r="A14" s="318"/>
      <c r="B14" s="300" t="s">
        <v>609</v>
      </c>
      <c r="C14" s="299"/>
      <c r="D14" s="299"/>
      <c r="E14" s="684">
        <f>SUBTOTAL(9,E12:E13)</f>
        <v>91680</v>
      </c>
      <c r="F14" s="684">
        <f>SUBTOTAL(9,F12:F13)</f>
        <v>2750.3999999999996</v>
      </c>
      <c r="G14" s="685">
        <f>SUBTOTAL(9,G12:G13)</f>
        <v>94500</v>
      </c>
      <c r="I14" s="110">
        <v>4</v>
      </c>
      <c r="J14" s="688">
        <f>SUMIF($B$3:$B$18,I14,$E$3:$E$18)</f>
        <v>128578</v>
      </c>
      <c r="K14" s="688">
        <f>SUMIF($B$3:$B$18,I14,$F$3:$F$18)</f>
        <v>2571.56</v>
      </c>
      <c r="L14" s="689">
        <f>SUMIF($B$3:$B$18,I14,$G$3:$G$18)</f>
        <v>131200</v>
      </c>
    </row>
    <row r="15" spans="1:13" ht="16.5" outlineLevel="2" thickTop="1">
      <c r="A15" s="108" t="s">
        <v>610</v>
      </c>
      <c r="B15" s="295">
        <v>4</v>
      </c>
      <c r="C15" s="109">
        <v>250</v>
      </c>
      <c r="D15" s="303">
        <v>283</v>
      </c>
      <c r="E15" s="682">
        <f>C15*D15</f>
        <v>70750</v>
      </c>
      <c r="F15" s="682">
        <f>E15*VLOOKUP(B15,$I$4:$J$7,2,0)</f>
        <v>1415</v>
      </c>
      <c r="G15" s="683">
        <f t="shared" si="0"/>
        <v>72200</v>
      </c>
    </row>
    <row r="16" spans="1:13" outlineLevel="2">
      <c r="A16" s="108" t="s">
        <v>611</v>
      </c>
      <c r="B16" s="295">
        <v>4</v>
      </c>
      <c r="C16" s="109">
        <v>244</v>
      </c>
      <c r="D16" s="303">
        <v>237</v>
      </c>
      <c r="E16" s="682">
        <f>C16*D16</f>
        <v>57828</v>
      </c>
      <c r="F16" s="682">
        <f>E16*VLOOKUP(B16,$I$4:$J$7,2,0)</f>
        <v>1156.56</v>
      </c>
      <c r="G16" s="683">
        <f t="shared" si="0"/>
        <v>59000</v>
      </c>
    </row>
    <row r="17" spans="1:13" outlineLevel="1">
      <c r="A17" s="318"/>
      <c r="B17" s="300" t="s">
        <v>612</v>
      </c>
      <c r="C17" s="299"/>
      <c r="D17" s="299"/>
      <c r="E17" s="684">
        <f>SUBTOTAL(9,E15:E16)</f>
        <v>128578</v>
      </c>
      <c r="F17" s="684">
        <f>SUBTOTAL(9,F15:F16)</f>
        <v>2571.56</v>
      </c>
      <c r="G17" s="685">
        <f>SUBTOTAL(9,G15:G16)</f>
        <v>131200</v>
      </c>
      <c r="I17" s="304"/>
      <c r="J17" s="305"/>
      <c r="K17" s="305"/>
      <c r="L17" s="305"/>
    </row>
    <row r="18" spans="1:13" ht="16.5" thickBot="1">
      <c r="A18" s="319"/>
      <c r="B18" s="307" t="s">
        <v>613</v>
      </c>
      <c r="C18" s="306"/>
      <c r="D18" s="306"/>
      <c r="E18" s="686">
        <f>SUBTOTAL(9,E3:E16)</f>
        <v>524430</v>
      </c>
      <c r="F18" s="686">
        <f>SUBTOTAL(9,F3:F16)</f>
        <v>25230.090000000004</v>
      </c>
      <c r="G18" s="687">
        <f>SUBTOTAL(9,G3:G16)</f>
        <v>549800</v>
      </c>
      <c r="I18" s="304"/>
      <c r="J18" s="305"/>
      <c r="K18" s="305"/>
      <c r="L18" s="305"/>
    </row>
    <row r="19" spans="1:13" ht="16.5" thickTop="1">
      <c r="A19" s="309" t="s">
        <v>614</v>
      </c>
      <c r="B19" s="310"/>
      <c r="C19" s="311"/>
      <c r="D19" s="310"/>
      <c r="E19" s="310"/>
      <c r="F19" s="312"/>
      <c r="G19" s="312"/>
      <c r="H19" s="312"/>
      <c r="I19" s="313"/>
      <c r="J19" s="310"/>
      <c r="K19" s="314"/>
      <c r="L19" s="314"/>
      <c r="M19" s="314"/>
    </row>
    <row r="20" spans="1:13">
      <c r="A20" s="1151" t="s">
        <v>615</v>
      </c>
      <c r="B20" s="1151"/>
      <c r="C20" s="1151"/>
      <c r="D20" s="1151"/>
      <c r="E20" s="1151"/>
      <c r="F20" s="1151"/>
      <c r="G20" s="1151"/>
      <c r="H20" s="1151"/>
      <c r="I20" s="1151"/>
      <c r="J20" s="1151"/>
      <c r="K20" s="1151"/>
      <c r="L20" s="1151"/>
      <c r="M20" s="315"/>
    </row>
    <row r="21" spans="1:13">
      <c r="A21" s="316" t="s">
        <v>616</v>
      </c>
      <c r="B21" s="315"/>
      <c r="C21" s="317"/>
      <c r="D21" s="315"/>
      <c r="E21" s="315"/>
      <c r="F21" s="315"/>
      <c r="G21" s="315"/>
      <c r="H21" s="315"/>
      <c r="I21" s="315"/>
      <c r="J21" s="315"/>
      <c r="K21" s="315"/>
      <c r="L21" s="315"/>
      <c r="M21" s="315"/>
    </row>
    <row r="22" spans="1:13">
      <c r="A22" s="316" t="s">
        <v>617</v>
      </c>
      <c r="B22" s="315"/>
      <c r="C22" s="317"/>
      <c r="D22" s="315"/>
      <c r="E22" s="315"/>
      <c r="F22" s="315"/>
      <c r="G22" s="315"/>
      <c r="H22" s="315"/>
      <c r="I22" s="315"/>
      <c r="J22" s="315"/>
      <c r="K22" s="315"/>
      <c r="L22" s="315"/>
      <c r="M22" s="315"/>
    </row>
    <row r="23" spans="1:13">
      <c r="A23" s="316" t="s">
        <v>618</v>
      </c>
      <c r="B23" s="315"/>
      <c r="C23" s="317"/>
      <c r="D23" s="315"/>
      <c r="E23" s="315"/>
      <c r="F23" s="315"/>
      <c r="G23" s="315"/>
      <c r="H23" s="315"/>
      <c r="I23" s="315"/>
      <c r="J23" s="315"/>
      <c r="K23" s="315"/>
      <c r="L23" s="315"/>
      <c r="M23" s="315"/>
    </row>
    <row r="24" spans="1:13">
      <c r="A24" s="316" t="s">
        <v>619</v>
      </c>
      <c r="B24" s="315"/>
      <c r="C24" s="317"/>
      <c r="D24" s="315"/>
      <c r="E24" s="315"/>
      <c r="F24" s="315"/>
      <c r="G24" s="315"/>
      <c r="H24" s="315"/>
      <c r="I24" s="315"/>
      <c r="J24" s="315"/>
      <c r="K24" s="315"/>
      <c r="L24" s="315"/>
      <c r="M24" s="315"/>
    </row>
    <row r="25" spans="1:13">
      <c r="A25" s="316" t="s">
        <v>620</v>
      </c>
      <c r="B25" s="315"/>
      <c r="C25" s="317"/>
      <c r="D25" s="315"/>
      <c r="E25" s="315"/>
      <c r="F25" s="315"/>
      <c r="G25" s="315"/>
      <c r="H25" s="315"/>
      <c r="I25" s="315"/>
      <c r="J25" s="315"/>
      <c r="K25" s="315"/>
      <c r="L25" s="315"/>
      <c r="M25" s="315"/>
    </row>
    <row r="26" spans="1:13">
      <c r="A26" s="316" t="s">
        <v>621</v>
      </c>
      <c r="B26" s="315"/>
      <c r="C26" s="317"/>
      <c r="D26" s="315"/>
      <c r="E26" s="315"/>
      <c r="F26" s="315"/>
      <c r="G26" s="315"/>
      <c r="H26" s="315"/>
      <c r="I26" s="315"/>
      <c r="J26" s="315"/>
      <c r="K26" s="315"/>
      <c r="L26" s="315"/>
      <c r="M26" s="315"/>
    </row>
    <row r="27" spans="1:13">
      <c r="A27" s="316" t="s">
        <v>622</v>
      </c>
      <c r="B27" s="315"/>
      <c r="C27" s="317"/>
      <c r="D27" s="315"/>
      <c r="E27" s="315"/>
      <c r="F27" s="315"/>
      <c r="G27" s="315"/>
      <c r="H27" s="315"/>
      <c r="I27" s="315"/>
      <c r="J27" s="315"/>
      <c r="K27" s="315"/>
      <c r="L27" s="315"/>
      <c r="M27" s="315"/>
    </row>
  </sheetData>
  <mergeCells count="4">
    <mergeCell ref="I2:J2"/>
    <mergeCell ref="I9:L9"/>
    <mergeCell ref="A20:L20"/>
    <mergeCell ref="A1:G1"/>
  </mergeCells>
  <phoneticPr fontId="141"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D50A8-E4BD-48E9-8829-CDDD2F2EFA82}">
  <dimension ref="B1:P82"/>
  <sheetViews>
    <sheetView workbookViewId="0">
      <selection activeCell="K1" sqref="K1"/>
    </sheetView>
  </sheetViews>
  <sheetFormatPr defaultRowHeight="15.75"/>
  <cols>
    <col min="1" max="1" width="5.140625" style="321" customWidth="1"/>
    <col min="2" max="2" width="13" style="321" customWidth="1"/>
    <col min="3" max="3" width="11.85546875" style="321" customWidth="1"/>
    <col min="4" max="4" width="15.85546875" style="321" customWidth="1"/>
    <col min="5" max="5" width="10.85546875" style="321" customWidth="1"/>
    <col min="6" max="6" width="13.7109375" style="321" customWidth="1"/>
    <col min="7" max="7" width="12.5703125" style="321" customWidth="1"/>
    <col min="8" max="8" width="10.7109375" style="321" customWidth="1"/>
    <col min="9" max="9" width="16.5703125" style="321" customWidth="1"/>
    <col min="10" max="10" width="11.85546875" style="321" customWidth="1"/>
    <col min="11" max="11" width="12.140625" style="321" bestFit="1" customWidth="1"/>
    <col min="12" max="12" width="7.28515625" style="321" customWidth="1"/>
    <col min="13" max="13" width="14.28515625" style="321" customWidth="1"/>
    <col min="14" max="14" width="8.85546875" style="321" customWidth="1"/>
    <col min="15" max="15" width="14" style="321" customWidth="1"/>
    <col min="16" max="16" width="9.5703125" style="321" bestFit="1" customWidth="1"/>
    <col min="17" max="17" width="10.85546875" style="321" bestFit="1" customWidth="1"/>
    <col min="18" max="18" width="10.7109375" style="321" customWidth="1"/>
    <col min="19" max="19" width="2.140625" style="321" customWidth="1"/>
    <col min="20" max="20" width="9.140625" style="321"/>
    <col min="21" max="21" width="12.28515625" style="321" customWidth="1"/>
    <col min="22" max="22" width="10.5703125" style="321" customWidth="1"/>
    <col min="23" max="16384" width="9.140625" style="321"/>
  </cols>
  <sheetData>
    <row r="1" spans="2:16">
      <c r="B1" s="322" t="s">
        <v>623</v>
      </c>
      <c r="K1" s="886" t="s">
        <v>1991</v>
      </c>
      <c r="L1" s="145"/>
    </row>
    <row r="2" spans="2:16">
      <c r="B2" s="1153" t="s">
        <v>624</v>
      </c>
      <c r="C2" s="1153"/>
      <c r="D2" s="1153"/>
      <c r="E2" s="1153"/>
      <c r="F2" s="1153"/>
      <c r="G2" s="1153"/>
      <c r="H2" s="1153"/>
    </row>
    <row r="4" spans="2:16">
      <c r="B4" s="323" t="s">
        <v>625</v>
      </c>
      <c r="C4" s="323" t="s">
        <v>626</v>
      </c>
      <c r="D4" s="323" t="s">
        <v>627</v>
      </c>
      <c r="E4" s="323" t="s">
        <v>628</v>
      </c>
      <c r="F4" s="323" t="s">
        <v>629</v>
      </c>
      <c r="G4" s="323" t="s">
        <v>630</v>
      </c>
      <c r="H4" s="323" t="s">
        <v>631</v>
      </c>
      <c r="J4" s="323" t="s">
        <v>628</v>
      </c>
      <c r="K4" s="323" t="s">
        <v>627</v>
      </c>
      <c r="L4" s="323" t="s">
        <v>628</v>
      </c>
      <c r="M4" s="323" t="s">
        <v>627</v>
      </c>
      <c r="N4" s="323" t="s">
        <v>626</v>
      </c>
      <c r="O4" s="323" t="s">
        <v>626</v>
      </c>
      <c r="P4" s="323" t="s">
        <v>627</v>
      </c>
    </row>
    <row r="5" spans="2:16">
      <c r="B5" s="324">
        <v>37906</v>
      </c>
      <c r="C5" s="325" t="s">
        <v>632</v>
      </c>
      <c r="D5" s="325" t="s">
        <v>633</v>
      </c>
      <c r="E5" s="326">
        <v>1</v>
      </c>
      <c r="F5" s="325">
        <v>871</v>
      </c>
      <c r="G5" s="325">
        <v>261</v>
      </c>
      <c r="H5" s="325">
        <f t="shared" ref="H5:H14" si="0">F5-G5</f>
        <v>610</v>
      </c>
      <c r="I5" s="356"/>
      <c r="J5" s="326">
        <v>2</v>
      </c>
      <c r="K5" s="325" t="s">
        <v>634</v>
      </c>
      <c r="L5" s="326">
        <v>1</v>
      </c>
      <c r="M5" s="325" t="s">
        <v>635</v>
      </c>
      <c r="N5" s="325" t="s">
        <v>632</v>
      </c>
      <c r="O5" s="325" t="s">
        <v>636</v>
      </c>
      <c r="P5" s="325" t="s">
        <v>634</v>
      </c>
    </row>
    <row r="6" spans="2:16">
      <c r="B6" s="324">
        <v>37812</v>
      </c>
      <c r="C6" s="325" t="s">
        <v>637</v>
      </c>
      <c r="D6" s="325" t="s">
        <v>638</v>
      </c>
      <c r="E6" s="326">
        <v>2</v>
      </c>
      <c r="F6" s="325">
        <v>851</v>
      </c>
      <c r="G6" s="325">
        <v>24</v>
      </c>
      <c r="H6" s="325">
        <f t="shared" si="0"/>
        <v>827</v>
      </c>
      <c r="I6" s="356"/>
      <c r="L6" s="326">
        <v>2</v>
      </c>
      <c r="M6" s="325" t="s">
        <v>639</v>
      </c>
      <c r="N6" s="325" t="s">
        <v>640</v>
      </c>
      <c r="O6" s="325" t="s">
        <v>641</v>
      </c>
      <c r="P6" s="325" t="s">
        <v>638</v>
      </c>
    </row>
    <row r="7" spans="2:16">
      <c r="B7" s="324">
        <v>37653</v>
      </c>
      <c r="C7" s="325" t="s">
        <v>642</v>
      </c>
      <c r="D7" s="325" t="s">
        <v>634</v>
      </c>
      <c r="E7" s="326">
        <v>1</v>
      </c>
      <c r="F7" s="325">
        <v>263</v>
      </c>
      <c r="G7" s="325">
        <v>202</v>
      </c>
      <c r="H7" s="325">
        <f t="shared" si="0"/>
        <v>61</v>
      </c>
      <c r="I7" s="356"/>
    </row>
    <row r="8" spans="2:16">
      <c r="B8" s="324">
        <v>37761</v>
      </c>
      <c r="C8" s="325" t="s">
        <v>640</v>
      </c>
      <c r="D8" s="325" t="s">
        <v>634</v>
      </c>
      <c r="E8" s="326">
        <v>3</v>
      </c>
      <c r="F8" s="325">
        <v>681</v>
      </c>
      <c r="G8" s="325">
        <v>111</v>
      </c>
      <c r="H8" s="325">
        <f t="shared" si="0"/>
        <v>570</v>
      </c>
      <c r="I8" s="356"/>
      <c r="J8" s="323" t="s">
        <v>631</v>
      </c>
      <c r="M8" s="323" t="s">
        <v>97</v>
      </c>
      <c r="O8" s="323" t="s">
        <v>709</v>
      </c>
    </row>
    <row r="9" spans="2:16">
      <c r="B9" s="324">
        <v>37897</v>
      </c>
      <c r="C9" s="325" t="s">
        <v>641</v>
      </c>
      <c r="D9" s="325" t="s">
        <v>635</v>
      </c>
      <c r="E9" s="326">
        <v>2</v>
      </c>
      <c r="F9" s="325">
        <v>405</v>
      </c>
      <c r="G9" s="325">
        <v>281</v>
      </c>
      <c r="H9" s="325">
        <f t="shared" si="0"/>
        <v>124</v>
      </c>
      <c r="I9" s="356"/>
      <c r="J9" s="325" t="s">
        <v>643</v>
      </c>
      <c r="M9" s="324" t="b">
        <f>MONTH(B5)=7</f>
        <v>0</v>
      </c>
      <c r="O9" s="324" t="b">
        <f>AND(DAY(B5)&gt;=1,DAY(B5)&lt;=15)</f>
        <v>1</v>
      </c>
    </row>
    <row r="10" spans="2:16">
      <c r="B10" s="324">
        <v>37899</v>
      </c>
      <c r="C10" s="325" t="s">
        <v>644</v>
      </c>
      <c r="D10" s="325" t="s">
        <v>639</v>
      </c>
      <c r="E10" s="326">
        <v>1</v>
      </c>
      <c r="F10" s="325">
        <v>401</v>
      </c>
      <c r="G10" s="325">
        <v>203</v>
      </c>
      <c r="H10" s="325">
        <f t="shared" si="0"/>
        <v>198</v>
      </c>
      <c r="I10" s="356"/>
    </row>
    <row r="11" spans="2:16">
      <c r="B11" s="324">
        <v>37816</v>
      </c>
      <c r="C11" s="325" t="s">
        <v>645</v>
      </c>
      <c r="D11" s="325" t="s">
        <v>633</v>
      </c>
      <c r="E11" s="326">
        <v>3</v>
      </c>
      <c r="F11" s="325">
        <v>639</v>
      </c>
      <c r="G11" s="325">
        <v>141</v>
      </c>
      <c r="H11" s="325">
        <f t="shared" si="0"/>
        <v>498</v>
      </c>
      <c r="I11" s="356"/>
      <c r="J11" s="323" t="s">
        <v>629</v>
      </c>
      <c r="K11" s="323" t="s">
        <v>630</v>
      </c>
      <c r="M11" s="323" t="s">
        <v>708</v>
      </c>
      <c r="O11" s="323" t="s">
        <v>710</v>
      </c>
    </row>
    <row r="12" spans="2:16">
      <c r="B12" s="324">
        <v>37930</v>
      </c>
      <c r="C12" s="325" t="s">
        <v>646</v>
      </c>
      <c r="D12" s="325" t="s">
        <v>635</v>
      </c>
      <c r="E12" s="326">
        <v>3</v>
      </c>
      <c r="F12" s="325">
        <v>896</v>
      </c>
      <c r="G12" s="325">
        <v>102</v>
      </c>
      <c r="H12" s="325">
        <f t="shared" si="0"/>
        <v>794</v>
      </c>
      <c r="I12" s="356"/>
      <c r="J12" s="325" t="s">
        <v>706</v>
      </c>
      <c r="K12" s="325"/>
      <c r="M12" s="324" t="b">
        <f>AND(MONTH(B5)=10,E5=1)</f>
        <v>1</v>
      </c>
      <c r="O12" s="324" t="b">
        <f>AND(MONTH(B5)&gt;=10,MONTH(B5)&lt;=12)</f>
        <v>1</v>
      </c>
    </row>
    <row r="13" spans="2:16">
      <c r="B13" s="324">
        <v>37761</v>
      </c>
      <c r="C13" s="325" t="s">
        <v>647</v>
      </c>
      <c r="D13" s="325" t="s">
        <v>639</v>
      </c>
      <c r="E13" s="326">
        <v>2</v>
      </c>
      <c r="F13" s="325">
        <v>507</v>
      </c>
      <c r="G13" s="325">
        <v>153</v>
      </c>
      <c r="H13" s="325">
        <f t="shared" si="0"/>
        <v>354</v>
      </c>
      <c r="I13" s="356"/>
      <c r="J13" s="355"/>
      <c r="K13" s="355" t="s">
        <v>707</v>
      </c>
    </row>
    <row r="14" spans="2:16">
      <c r="B14" s="324">
        <v>37902</v>
      </c>
      <c r="C14" s="325" t="s">
        <v>648</v>
      </c>
      <c r="D14" s="325" t="s">
        <v>638</v>
      </c>
      <c r="E14" s="326">
        <v>1</v>
      </c>
      <c r="F14" s="325">
        <v>381</v>
      </c>
      <c r="G14" s="325">
        <v>16</v>
      </c>
      <c r="H14" s="325">
        <f t="shared" si="0"/>
        <v>365</v>
      </c>
      <c r="I14" s="356"/>
      <c r="M14" s="323" t="s">
        <v>711</v>
      </c>
    </row>
    <row r="15" spans="2:16">
      <c r="B15" s="327"/>
      <c r="C15" s="327"/>
      <c r="D15" s="327"/>
      <c r="E15" s="327"/>
      <c r="F15" s="328"/>
      <c r="G15" s="328"/>
      <c r="H15" s="328"/>
      <c r="M15" s="324" t="b">
        <f>OR(WEEKDAY(B5)=1,WEEKDAY(B5)=7)</f>
        <v>1</v>
      </c>
    </row>
    <row r="16" spans="2:16">
      <c r="B16" s="153" t="s">
        <v>345</v>
      </c>
    </row>
    <row r="17" spans="2:11" s="329" customFormat="1">
      <c r="B17" s="330"/>
      <c r="C17" s="331" t="s">
        <v>649</v>
      </c>
    </row>
    <row r="18" spans="2:11" ht="31.5">
      <c r="B18" s="1154" t="s">
        <v>1185</v>
      </c>
      <c r="C18" s="1154"/>
      <c r="D18" s="1154"/>
      <c r="E18" s="1154"/>
      <c r="F18" s="1154"/>
      <c r="G18" s="1154"/>
      <c r="H18" s="1154"/>
      <c r="J18" s="332" t="s">
        <v>650</v>
      </c>
      <c r="K18" s="333" t="s">
        <v>651</v>
      </c>
    </row>
    <row r="19" spans="2:11">
      <c r="B19" s="334" t="s">
        <v>346</v>
      </c>
      <c r="C19" s="321" t="s">
        <v>652</v>
      </c>
      <c r="I19" s="335"/>
      <c r="J19" s="336">
        <f>COUNTIF($C$5:$C$14,"T*")</f>
        <v>2</v>
      </c>
      <c r="K19" s="337">
        <v>2</v>
      </c>
    </row>
    <row r="20" spans="2:11">
      <c r="B20" s="334" t="s">
        <v>352</v>
      </c>
      <c r="C20" s="321" t="s">
        <v>653</v>
      </c>
      <c r="I20" s="335"/>
      <c r="J20" s="336">
        <f>COUNTIF($E$5:$E$14,2)</f>
        <v>3</v>
      </c>
      <c r="K20" s="337">
        <v>3</v>
      </c>
    </row>
    <row r="21" spans="2:11">
      <c r="B21" s="334" t="s">
        <v>355</v>
      </c>
      <c r="C21" s="321" t="s">
        <v>654</v>
      </c>
      <c r="I21" s="335"/>
      <c r="J21" s="336">
        <f>SUMIF($E$5:$E$14,3,$F$5:$F$14)</f>
        <v>2216</v>
      </c>
      <c r="K21" s="337">
        <v>2216</v>
      </c>
    </row>
    <row r="22" spans="2:11">
      <c r="B22" s="334" t="s">
        <v>358</v>
      </c>
      <c r="C22" s="321" t="s">
        <v>655</v>
      </c>
      <c r="I22" s="335"/>
      <c r="J22" s="336">
        <f>SUMIF($D$5:$D$14,"Tôm",$G$5:$G$14)</f>
        <v>402</v>
      </c>
      <c r="K22" s="337">
        <v>402</v>
      </c>
    </row>
    <row r="23" spans="2:11">
      <c r="B23" s="334" t="s">
        <v>360</v>
      </c>
      <c r="C23" s="321" t="s">
        <v>656</v>
      </c>
      <c r="I23" s="335"/>
      <c r="J23" s="336">
        <f>DMIN($B$4:$H$14,H4,J4:J5)</f>
        <v>124</v>
      </c>
      <c r="K23" s="337">
        <v>124</v>
      </c>
    </row>
    <row r="24" spans="2:11">
      <c r="B24" s="334" t="s">
        <v>441</v>
      </c>
      <c r="C24" s="321" t="s">
        <v>657</v>
      </c>
      <c r="I24" s="335"/>
      <c r="J24" s="336">
        <f>DMAX($B$4:$H$14,G4,K4:K5)</f>
        <v>202</v>
      </c>
      <c r="K24" s="337">
        <v>202</v>
      </c>
    </row>
    <row r="25" spans="2:11">
      <c r="B25" s="334" t="s">
        <v>658</v>
      </c>
      <c r="C25" s="321" t="s">
        <v>659</v>
      </c>
      <c r="I25" s="335"/>
      <c r="J25" s="336">
        <f>DSUM($B$4:$H$14,H4,L4:L6)</f>
        <v>2539</v>
      </c>
      <c r="K25" s="337">
        <v>2539</v>
      </c>
    </row>
    <row r="26" spans="2:11">
      <c r="B26" s="334" t="s">
        <v>660</v>
      </c>
      <c r="C26" s="321" t="s">
        <v>661</v>
      </c>
      <c r="I26" s="335"/>
      <c r="J26" s="336">
        <f>SUMIF($E$5:$E$14,3,$F$5:$F$14)+SUMIF($E$5:$E$14,3,$G$5:$G$14)</f>
        <v>2570</v>
      </c>
      <c r="K26" s="337">
        <v>2570</v>
      </c>
    </row>
    <row r="27" spans="2:11">
      <c r="B27" s="334" t="s">
        <v>662</v>
      </c>
      <c r="C27" s="321" t="s">
        <v>663</v>
      </c>
      <c r="I27" s="335"/>
      <c r="J27" s="336">
        <f>DSUM($B$4:$H$14,H4,$M$4:$M$6)</f>
        <v>1470</v>
      </c>
      <c r="K27" s="337">
        <v>1470</v>
      </c>
    </row>
    <row r="28" spans="2:11">
      <c r="B28" s="334" t="s">
        <v>664</v>
      </c>
      <c r="C28" s="321" t="s">
        <v>665</v>
      </c>
      <c r="I28" s="338"/>
      <c r="J28" s="339">
        <f>(SUMIF($D$5:$D$14,"Cá",$G$5:$G$14)/SUMIF($D$5:$D$14,"Cá",$F$5:$F$14))</f>
        <v>3.2467532467532464E-2</v>
      </c>
      <c r="K28" s="340">
        <v>3.2467532467532464E-2</v>
      </c>
    </row>
    <row r="29" spans="2:11">
      <c r="B29" s="334" t="s">
        <v>666</v>
      </c>
      <c r="C29" s="321" t="s">
        <v>667</v>
      </c>
      <c r="I29" s="335"/>
      <c r="J29" s="336">
        <f>DSUM($B$4:$H$14,G4,$N$4:$N$6)</f>
        <v>372</v>
      </c>
      <c r="K29" s="337">
        <v>372</v>
      </c>
    </row>
    <row r="30" spans="2:11">
      <c r="B30" s="334" t="s">
        <v>668</v>
      </c>
      <c r="C30" s="321" t="s">
        <v>669</v>
      </c>
      <c r="I30" s="335"/>
      <c r="J30" s="336">
        <f>DSUM($B$4:$H$14,F4,O4:O6)</f>
        <v>1313</v>
      </c>
      <c r="K30" s="337">
        <v>1313</v>
      </c>
    </row>
    <row r="31" spans="2:11">
      <c r="B31" s="334" t="s">
        <v>670</v>
      </c>
      <c r="C31" s="321" t="s">
        <v>671</v>
      </c>
      <c r="I31" s="338"/>
      <c r="J31" s="339">
        <f>SUMIF($D$5:$D$14,"Mực",$H$5:$H$14)/SUMIF($D$5:$D$14,"Cá",$H$5:$H$14)</f>
        <v>0.52936241610738255</v>
      </c>
      <c r="K31" s="340">
        <v>0.52936241610738255</v>
      </c>
    </row>
    <row r="32" spans="2:11">
      <c r="B32" s="228" t="s">
        <v>672</v>
      </c>
      <c r="C32" s="329" t="s">
        <v>673</v>
      </c>
      <c r="D32" s="329"/>
      <c r="E32" s="329"/>
      <c r="F32" s="329"/>
      <c r="G32" s="329"/>
      <c r="H32" s="329"/>
      <c r="I32" s="341"/>
      <c r="J32" s="342">
        <f>DMIN($B$4:$H$14,F4,J8:J9)</f>
        <v>681</v>
      </c>
      <c r="K32" s="343">
        <v>681</v>
      </c>
    </row>
    <row r="33" spans="2:16">
      <c r="B33" s="228" t="s">
        <v>674</v>
      </c>
      <c r="C33" s="329" t="s">
        <v>675</v>
      </c>
      <c r="D33" s="329"/>
      <c r="E33" s="329"/>
      <c r="F33" s="329"/>
      <c r="G33" s="329"/>
      <c r="H33" s="329"/>
      <c r="I33" s="341"/>
      <c r="J33" s="342">
        <f>DSUM($B$4:$H$14,H4,$J$11:$K$13)</f>
        <v>1358</v>
      </c>
      <c r="K33" s="343">
        <v>1358</v>
      </c>
    </row>
    <row r="34" spans="2:16">
      <c r="B34" s="228" t="s">
        <v>676</v>
      </c>
      <c r="C34" s="329" t="s">
        <v>677</v>
      </c>
      <c r="D34" s="329"/>
      <c r="E34" s="329"/>
      <c r="F34" s="329"/>
      <c r="G34" s="329"/>
      <c r="H34" s="329"/>
      <c r="I34" s="329"/>
      <c r="J34" s="342">
        <f>DMIN($B$4:$H$14,F4,$M$8:$M$9)</f>
        <v>639</v>
      </c>
      <c r="K34" s="343">
        <v>639</v>
      </c>
    </row>
    <row r="35" spans="2:16">
      <c r="B35" s="228" t="s">
        <v>678</v>
      </c>
      <c r="C35" s="329" t="s">
        <v>679</v>
      </c>
      <c r="D35" s="329"/>
      <c r="E35" s="329"/>
      <c r="F35" s="329"/>
      <c r="G35" s="329"/>
      <c r="H35" s="329"/>
      <c r="I35" s="329"/>
      <c r="J35" s="342">
        <f>DSUM($B$4:$H$14,G4,$M$11:$M$12)</f>
        <v>480</v>
      </c>
      <c r="K35" s="343">
        <v>480</v>
      </c>
      <c r="L35" s="344"/>
      <c r="M35" s="344"/>
      <c r="N35" s="344"/>
      <c r="O35" s="344"/>
      <c r="P35" s="344"/>
    </row>
    <row r="36" spans="2:16">
      <c r="B36" s="228" t="s">
        <v>680</v>
      </c>
      <c r="C36" s="329" t="s">
        <v>681</v>
      </c>
      <c r="D36" s="329"/>
      <c r="E36" s="329"/>
      <c r="F36" s="329"/>
      <c r="G36" s="329"/>
      <c r="H36" s="329"/>
      <c r="I36" s="329"/>
      <c r="J36" s="342">
        <f>DMAX($B$4:$H$14,H4,$O$8:$O$9)</f>
        <v>827</v>
      </c>
      <c r="K36" s="343">
        <v>827</v>
      </c>
      <c r="L36" s="345"/>
      <c r="M36" s="345"/>
      <c r="N36" s="346"/>
      <c r="O36" s="346"/>
      <c r="P36" s="346"/>
    </row>
    <row r="37" spans="2:16">
      <c r="B37" s="228" t="s">
        <v>682</v>
      </c>
      <c r="C37" s="329" t="s">
        <v>683</v>
      </c>
      <c r="D37" s="329"/>
      <c r="E37" s="329"/>
      <c r="F37" s="329"/>
      <c r="G37" s="329"/>
      <c r="H37" s="329"/>
      <c r="I37" s="329"/>
      <c r="J37" s="342">
        <f>DSUM($B$4:$H$14,F4,$O$11:$O$12)</f>
        <v>2954</v>
      </c>
      <c r="K37" s="343">
        <v>2954</v>
      </c>
      <c r="L37" s="345"/>
      <c r="M37" s="345"/>
      <c r="N37" s="346"/>
      <c r="O37" s="346"/>
      <c r="P37" s="346"/>
    </row>
    <row r="38" spans="2:16">
      <c r="B38" s="228" t="s">
        <v>684</v>
      </c>
      <c r="C38" s="329" t="s">
        <v>685</v>
      </c>
      <c r="D38" s="329"/>
      <c r="E38" s="329"/>
      <c r="F38" s="329"/>
      <c r="G38" s="329"/>
      <c r="H38" s="329"/>
      <c r="I38" s="329"/>
      <c r="J38" s="342">
        <f>DSUM($B$4:$H$14,F4,$M$14:$M$15)+DSUM($B$4:$H$14,G4,$M$14:$M$15)</f>
        <v>2201</v>
      </c>
      <c r="K38" s="343">
        <v>2201</v>
      </c>
      <c r="L38" s="345"/>
      <c r="M38" s="345"/>
      <c r="N38" s="346"/>
      <c r="O38" s="346"/>
      <c r="P38" s="346"/>
    </row>
    <row r="39" spans="2:16">
      <c r="B39" s="347"/>
      <c r="C39" s="329"/>
      <c r="D39" s="329"/>
      <c r="E39" s="329"/>
      <c r="F39" s="329"/>
      <c r="G39" s="329"/>
      <c r="H39" s="329"/>
      <c r="I39" s="329"/>
      <c r="J39" s="342"/>
      <c r="K39" s="348"/>
      <c r="L39" s="345"/>
      <c r="M39" s="345"/>
      <c r="N39" s="346"/>
      <c r="O39" s="346"/>
      <c r="P39" s="346"/>
    </row>
    <row r="40" spans="2:16">
      <c r="B40" s="1152" t="s">
        <v>686</v>
      </c>
      <c r="C40" s="1152"/>
      <c r="D40" s="1152"/>
      <c r="E40" s="1152"/>
      <c r="F40" s="1152"/>
      <c r="G40" s="1152"/>
      <c r="H40" s="1152"/>
      <c r="I40" s="1152"/>
      <c r="J40" s="1152"/>
      <c r="K40" s="1152"/>
      <c r="L40" s="345"/>
      <c r="M40" s="345"/>
      <c r="N40" s="346"/>
      <c r="O40" s="346"/>
      <c r="P40" s="346"/>
    </row>
    <row r="41" spans="2:16">
      <c r="B41" s="347"/>
      <c r="C41" s="329"/>
      <c r="D41" s="329"/>
      <c r="E41" s="329"/>
      <c r="F41" s="329"/>
      <c r="G41" s="329"/>
      <c r="H41" s="329"/>
      <c r="I41" s="329"/>
      <c r="J41" s="342"/>
      <c r="K41" s="348"/>
      <c r="L41" s="345"/>
      <c r="M41" s="345"/>
      <c r="N41" s="346"/>
      <c r="O41" s="346"/>
      <c r="P41" s="346"/>
    </row>
    <row r="42" spans="2:16">
      <c r="B42" s="228" t="s">
        <v>346</v>
      </c>
      <c r="C42" s="329" t="s">
        <v>687</v>
      </c>
      <c r="D42" s="329"/>
      <c r="E42" s="329"/>
      <c r="F42" s="329"/>
      <c r="G42" s="329"/>
      <c r="H42" s="329"/>
      <c r="I42" s="329"/>
      <c r="J42" s="342"/>
      <c r="K42" s="348"/>
      <c r="L42" s="345"/>
      <c r="M42" s="345"/>
      <c r="N42" s="346"/>
      <c r="O42" s="346"/>
      <c r="P42" s="346"/>
    </row>
    <row r="43" spans="2:16">
      <c r="B43" s="228" t="s">
        <v>352</v>
      </c>
      <c r="C43" s="329" t="s">
        <v>688</v>
      </c>
      <c r="D43" s="329"/>
      <c r="E43" s="329"/>
      <c r="F43" s="329"/>
      <c r="G43" s="329"/>
      <c r="H43" s="329"/>
      <c r="I43" s="329"/>
      <c r="J43" s="342"/>
      <c r="K43" s="348"/>
      <c r="L43" s="345"/>
      <c r="M43" s="345"/>
      <c r="N43" s="346"/>
      <c r="O43" s="346"/>
      <c r="P43" s="346"/>
    </row>
    <row r="44" spans="2:16">
      <c r="B44" s="228" t="s">
        <v>355</v>
      </c>
      <c r="C44" s="329" t="s">
        <v>689</v>
      </c>
      <c r="D44" s="329"/>
      <c r="E44" s="329"/>
      <c r="F44" s="329"/>
      <c r="G44" s="329"/>
      <c r="H44" s="329"/>
      <c r="I44" s="329"/>
      <c r="J44" s="342"/>
      <c r="K44" s="348"/>
      <c r="L44" s="345"/>
      <c r="M44" s="345"/>
      <c r="N44" s="346"/>
      <c r="O44" s="346"/>
      <c r="P44" s="346"/>
    </row>
    <row r="45" spans="2:16">
      <c r="B45" s="228" t="s">
        <v>358</v>
      </c>
      <c r="C45" s="329" t="s">
        <v>690</v>
      </c>
      <c r="D45" s="329"/>
      <c r="E45" s="329"/>
      <c r="F45" s="329"/>
      <c r="G45" s="329"/>
      <c r="H45" s="329"/>
      <c r="I45" s="329"/>
      <c r="J45" s="342"/>
      <c r="K45" s="348"/>
      <c r="L45" s="345"/>
      <c r="M45" s="345"/>
      <c r="N45" s="346"/>
      <c r="O45" s="346"/>
      <c r="P45" s="346"/>
    </row>
    <row r="46" spans="2:16">
      <c r="B46" s="228" t="s">
        <v>360</v>
      </c>
      <c r="C46" s="329" t="s">
        <v>691</v>
      </c>
      <c r="D46" s="329"/>
      <c r="E46" s="329"/>
      <c r="F46" s="329"/>
      <c r="G46" s="329"/>
      <c r="H46" s="329"/>
      <c r="I46" s="329"/>
      <c r="J46" s="342"/>
      <c r="K46" s="348"/>
      <c r="L46" s="345"/>
      <c r="M46" s="345"/>
      <c r="N46" s="346"/>
      <c r="O46" s="346"/>
      <c r="P46" s="346"/>
    </row>
    <row r="47" spans="2:16">
      <c r="B47" s="329"/>
      <c r="C47" s="329" t="s">
        <v>692</v>
      </c>
      <c r="D47" s="329"/>
      <c r="E47" s="329"/>
      <c r="F47" s="329"/>
      <c r="G47" s="329"/>
      <c r="H47" s="329"/>
      <c r="I47" s="329"/>
      <c r="J47" s="349"/>
      <c r="K47" s="349"/>
      <c r="L47" s="345"/>
      <c r="M47" s="345"/>
      <c r="N47" s="346"/>
      <c r="O47" s="346"/>
      <c r="P47" s="346"/>
    </row>
    <row r="48" spans="2:16">
      <c r="B48" s="329"/>
      <c r="C48" s="329"/>
      <c r="D48" s="329"/>
      <c r="E48" s="329"/>
      <c r="F48" s="329"/>
      <c r="G48" s="329"/>
      <c r="H48" s="329"/>
      <c r="I48" s="329"/>
      <c r="J48" s="349"/>
      <c r="K48" s="349"/>
      <c r="L48" s="345"/>
      <c r="M48" s="345"/>
      <c r="N48" s="346"/>
      <c r="O48" s="346"/>
      <c r="P48" s="346"/>
    </row>
    <row r="49" spans="2:16">
      <c r="B49" s="1152" t="s">
        <v>693</v>
      </c>
      <c r="C49" s="1152"/>
      <c r="D49" s="1152"/>
      <c r="E49" s="1152"/>
      <c r="F49" s="1152"/>
      <c r="G49" s="1152"/>
      <c r="H49" s="1152"/>
      <c r="I49" s="1152"/>
      <c r="J49" s="1152"/>
      <c r="K49" s="1152"/>
      <c r="L49" s="345"/>
      <c r="M49" s="345"/>
      <c r="N49" s="346"/>
      <c r="O49" s="346"/>
      <c r="P49" s="346"/>
    </row>
    <row r="50" spans="2:16">
      <c r="B50" s="329"/>
      <c r="C50" s="329"/>
      <c r="D50" s="329"/>
      <c r="E50" s="329"/>
      <c r="F50" s="329"/>
      <c r="G50" s="329"/>
      <c r="H50" s="329"/>
      <c r="I50" s="329"/>
      <c r="J50" s="349"/>
      <c r="K50" s="349"/>
      <c r="L50" s="345"/>
      <c r="M50" s="345"/>
      <c r="N50" s="346"/>
      <c r="O50" s="346"/>
      <c r="P50" s="346"/>
    </row>
    <row r="51" spans="2:16">
      <c r="B51" s="228" t="s">
        <v>346</v>
      </c>
      <c r="C51" s="329" t="s">
        <v>694</v>
      </c>
      <c r="D51" s="329"/>
      <c r="E51" s="329"/>
      <c r="F51" s="329"/>
      <c r="G51" s="329"/>
      <c r="H51" s="329"/>
      <c r="I51" s="329"/>
      <c r="J51" s="349"/>
      <c r="K51" s="349"/>
      <c r="L51" s="345"/>
      <c r="M51" s="345"/>
      <c r="N51" s="346"/>
      <c r="O51" s="346"/>
      <c r="P51" s="346"/>
    </row>
    <row r="52" spans="2:16">
      <c r="B52" s="228" t="s">
        <v>352</v>
      </c>
      <c r="C52" s="329" t="s">
        <v>695</v>
      </c>
      <c r="D52" s="329"/>
      <c r="E52" s="329"/>
      <c r="F52" s="329"/>
      <c r="G52" s="329"/>
      <c r="H52" s="329"/>
      <c r="I52" s="329"/>
      <c r="J52" s="349"/>
      <c r="K52" s="349"/>
      <c r="L52" s="345"/>
      <c r="M52" s="345"/>
      <c r="N52" s="346"/>
      <c r="O52" s="346"/>
      <c r="P52" s="346"/>
    </row>
    <row r="53" spans="2:16">
      <c r="B53" s="228" t="s">
        <v>355</v>
      </c>
      <c r="C53" s="329" t="s">
        <v>696</v>
      </c>
      <c r="D53" s="329"/>
      <c r="E53" s="329"/>
      <c r="F53" s="329"/>
      <c r="G53" s="329"/>
      <c r="H53" s="329"/>
      <c r="I53" s="329"/>
      <c r="J53" s="349"/>
      <c r="K53" s="349"/>
      <c r="L53" s="345"/>
      <c r="M53" s="345"/>
      <c r="N53" s="346"/>
      <c r="O53" s="346"/>
      <c r="P53" s="346"/>
    </row>
    <row r="54" spans="2:16">
      <c r="B54" s="228" t="s">
        <v>358</v>
      </c>
      <c r="C54" s="329" t="s">
        <v>697</v>
      </c>
      <c r="D54" s="329"/>
      <c r="E54" s="329"/>
      <c r="F54" s="329"/>
      <c r="G54" s="329"/>
      <c r="H54" s="329"/>
      <c r="I54" s="329"/>
      <c r="J54" s="349"/>
      <c r="K54" s="349"/>
      <c r="L54" s="345"/>
      <c r="M54" s="345"/>
      <c r="N54" s="346"/>
      <c r="O54" s="346"/>
      <c r="P54" s="346"/>
    </row>
    <row r="55" spans="2:16">
      <c r="B55" s="228" t="s">
        <v>360</v>
      </c>
      <c r="C55" s="329" t="s">
        <v>698</v>
      </c>
      <c r="D55" s="329"/>
      <c r="E55" s="329"/>
      <c r="F55" s="329"/>
      <c r="G55" s="329"/>
      <c r="H55" s="329"/>
      <c r="I55" s="329"/>
      <c r="J55" s="349"/>
      <c r="K55" s="349"/>
      <c r="L55" s="345"/>
      <c r="M55" s="345"/>
      <c r="N55" s="346"/>
      <c r="O55" s="346"/>
      <c r="P55" s="346"/>
    </row>
    <row r="56" spans="2:16">
      <c r="B56" s="329"/>
      <c r="C56" s="329"/>
      <c r="D56" s="329"/>
      <c r="E56" s="329"/>
      <c r="F56" s="329"/>
      <c r="G56" s="329"/>
      <c r="H56" s="329"/>
      <c r="I56" s="329"/>
      <c r="J56" s="349"/>
      <c r="K56" s="349"/>
      <c r="L56" s="345"/>
      <c r="M56" s="345"/>
      <c r="N56" s="346"/>
      <c r="O56" s="346"/>
      <c r="P56" s="346"/>
    </row>
    <row r="57" spans="2:16" s="329" customFormat="1">
      <c r="B57" s="1152" t="s">
        <v>699</v>
      </c>
      <c r="C57" s="1152"/>
      <c r="D57" s="1152"/>
      <c r="E57" s="1152"/>
      <c r="F57" s="1152"/>
      <c r="G57" s="1152"/>
      <c r="H57" s="1152"/>
      <c r="I57" s="1152"/>
      <c r="J57" s="1152"/>
      <c r="K57" s="1152"/>
    </row>
    <row r="58" spans="2:16">
      <c r="B58" s="329"/>
      <c r="C58" s="329"/>
      <c r="D58" s="329"/>
      <c r="E58" s="329"/>
      <c r="F58" s="329"/>
      <c r="G58" s="329"/>
      <c r="H58" s="329"/>
      <c r="I58" s="329"/>
      <c r="J58" s="329"/>
      <c r="K58" s="329"/>
    </row>
    <row r="59" spans="2:16">
      <c r="B59" s="228" t="s">
        <v>346</v>
      </c>
      <c r="C59" s="350" t="s">
        <v>700</v>
      </c>
      <c r="D59" s="350"/>
      <c r="E59" s="350"/>
      <c r="F59" s="329"/>
      <c r="G59" s="329"/>
      <c r="H59" s="329"/>
      <c r="I59" s="329"/>
      <c r="J59" s="351"/>
      <c r="K59" s="351"/>
      <c r="L59" s="352"/>
      <c r="M59" s="352"/>
      <c r="N59" s="353"/>
      <c r="O59" s="353"/>
      <c r="P59" s="353"/>
    </row>
    <row r="60" spans="2:16">
      <c r="B60" s="228" t="s">
        <v>352</v>
      </c>
      <c r="C60" s="350" t="s">
        <v>701</v>
      </c>
      <c r="D60" s="350"/>
      <c r="E60" s="350"/>
      <c r="F60" s="329"/>
      <c r="G60" s="329"/>
      <c r="H60" s="329"/>
      <c r="I60" s="329"/>
      <c r="J60" s="351"/>
      <c r="K60" s="351"/>
      <c r="L60" s="352"/>
      <c r="M60" s="352"/>
      <c r="N60" s="353"/>
      <c r="O60" s="353"/>
      <c r="P60" s="353"/>
    </row>
    <row r="61" spans="2:16">
      <c r="B61" s="228" t="s">
        <v>355</v>
      </c>
      <c r="C61" s="350" t="s">
        <v>702</v>
      </c>
      <c r="D61" s="350"/>
      <c r="E61" s="350"/>
      <c r="F61" s="329"/>
      <c r="G61" s="329"/>
      <c r="H61" s="329"/>
      <c r="I61" s="329"/>
      <c r="J61" s="351"/>
      <c r="K61" s="351"/>
      <c r="L61" s="352"/>
      <c r="M61" s="352"/>
      <c r="N61" s="353"/>
      <c r="O61" s="353"/>
      <c r="P61" s="353"/>
    </row>
    <row r="62" spans="2:16">
      <c r="B62" s="228" t="s">
        <v>358</v>
      </c>
      <c r="C62" s="350" t="s">
        <v>703</v>
      </c>
      <c r="D62" s="350"/>
      <c r="E62" s="350"/>
      <c r="F62" s="329"/>
      <c r="G62" s="329"/>
      <c r="H62" s="329"/>
      <c r="I62" s="329"/>
      <c r="J62" s="329"/>
      <c r="K62" s="329"/>
    </row>
    <row r="63" spans="2:16">
      <c r="B63" s="228" t="s">
        <v>360</v>
      </c>
      <c r="C63" s="350" t="s">
        <v>704</v>
      </c>
      <c r="D63" s="350"/>
      <c r="E63" s="350"/>
      <c r="F63" s="329"/>
      <c r="G63" s="329"/>
      <c r="H63" s="329"/>
      <c r="I63" s="329"/>
      <c r="J63" s="329"/>
      <c r="K63" s="329"/>
    </row>
    <row r="64" spans="2:16">
      <c r="B64" s="350"/>
      <c r="C64" s="350" t="s">
        <v>705</v>
      </c>
      <c r="D64" s="350"/>
      <c r="E64" s="350"/>
      <c r="F64" s="329"/>
      <c r="G64" s="329"/>
      <c r="H64" s="329"/>
      <c r="I64" s="329"/>
      <c r="J64" s="354"/>
      <c r="K64" s="354"/>
      <c r="L64" s="344"/>
      <c r="M64" s="344"/>
      <c r="N64" s="344"/>
      <c r="O64" s="344"/>
      <c r="P64" s="344"/>
    </row>
    <row r="65" spans="2:16">
      <c r="B65" s="329"/>
      <c r="C65" s="329"/>
      <c r="D65" s="329"/>
      <c r="E65" s="329"/>
      <c r="F65" s="329"/>
      <c r="G65" s="329"/>
      <c r="H65" s="329"/>
      <c r="I65" s="329"/>
      <c r="J65" s="351"/>
      <c r="K65" s="351"/>
      <c r="L65" s="352"/>
      <c r="M65" s="352"/>
      <c r="N65" s="353"/>
      <c r="O65" s="353"/>
      <c r="P65" s="353"/>
    </row>
    <row r="66" spans="2:16">
      <c r="B66" s="329"/>
      <c r="C66" s="329"/>
      <c r="D66" s="329"/>
      <c r="E66" s="329"/>
      <c r="F66" s="329"/>
      <c r="G66" s="329"/>
      <c r="H66" s="329"/>
      <c r="I66" s="329"/>
      <c r="J66" s="351"/>
      <c r="K66" s="351"/>
      <c r="L66" s="352"/>
      <c r="M66" s="352"/>
      <c r="N66" s="353"/>
      <c r="O66" s="353"/>
      <c r="P66" s="353"/>
    </row>
    <row r="67" spans="2:16">
      <c r="B67" s="329"/>
      <c r="C67" s="329"/>
      <c r="D67" s="329"/>
      <c r="E67" s="329"/>
      <c r="F67" s="329"/>
      <c r="G67" s="329"/>
      <c r="H67" s="329"/>
      <c r="I67" s="329"/>
      <c r="J67" s="351"/>
      <c r="K67" s="351"/>
      <c r="L67" s="352"/>
      <c r="M67" s="352"/>
      <c r="N67" s="353"/>
      <c r="O67" s="353"/>
      <c r="P67" s="353"/>
    </row>
    <row r="68" spans="2:16">
      <c r="B68" s="329"/>
      <c r="C68" s="329"/>
      <c r="D68" s="329"/>
      <c r="E68" s="329"/>
      <c r="F68" s="329"/>
      <c r="G68" s="329"/>
      <c r="H68" s="329"/>
      <c r="I68" s="329"/>
      <c r="J68" s="329"/>
      <c r="K68" s="329"/>
    </row>
    <row r="69" spans="2:16">
      <c r="B69" s="329"/>
      <c r="C69" s="329"/>
      <c r="D69" s="329"/>
      <c r="E69" s="329"/>
      <c r="F69" s="329"/>
      <c r="G69" s="329"/>
      <c r="H69" s="329"/>
      <c r="I69" s="329"/>
      <c r="J69" s="329"/>
      <c r="K69" s="329"/>
    </row>
    <row r="70" spans="2:16">
      <c r="B70" s="329"/>
      <c r="C70" s="329"/>
      <c r="D70" s="329"/>
      <c r="E70" s="329"/>
      <c r="F70" s="329"/>
      <c r="G70" s="329"/>
      <c r="H70" s="329"/>
      <c r="I70" s="329"/>
      <c r="J70" s="329"/>
      <c r="K70" s="329"/>
    </row>
    <row r="71" spans="2:16">
      <c r="B71" s="329"/>
      <c r="C71" s="329"/>
      <c r="D71" s="329"/>
      <c r="E71" s="329"/>
      <c r="F71" s="329"/>
      <c r="G71" s="329"/>
      <c r="H71" s="329"/>
      <c r="I71" s="329"/>
      <c r="J71" s="354"/>
      <c r="K71" s="354"/>
      <c r="L71" s="344"/>
      <c r="M71" s="344"/>
      <c r="N71" s="344"/>
      <c r="O71" s="344"/>
      <c r="P71" s="344"/>
    </row>
    <row r="72" spans="2:16">
      <c r="B72" s="329"/>
      <c r="C72" s="329"/>
      <c r="D72" s="329"/>
      <c r="E72" s="329"/>
      <c r="F72" s="329"/>
      <c r="G72" s="329"/>
      <c r="H72" s="329"/>
      <c r="I72" s="329"/>
      <c r="J72" s="351"/>
      <c r="K72" s="351"/>
      <c r="L72" s="352"/>
      <c r="M72" s="352"/>
      <c r="N72" s="353"/>
      <c r="O72" s="353"/>
      <c r="P72" s="353"/>
    </row>
    <row r="73" spans="2:16">
      <c r="B73" s="329"/>
      <c r="C73" s="329"/>
      <c r="D73" s="329"/>
      <c r="E73" s="329"/>
      <c r="F73" s="329"/>
      <c r="G73" s="329"/>
      <c r="H73" s="329"/>
      <c r="I73" s="329"/>
      <c r="J73" s="351"/>
      <c r="K73" s="351"/>
      <c r="L73" s="352"/>
      <c r="M73" s="352"/>
      <c r="N73" s="353"/>
      <c r="O73" s="353"/>
      <c r="P73" s="353"/>
    </row>
    <row r="74" spans="2:16">
      <c r="B74" s="329"/>
      <c r="C74" s="329"/>
      <c r="D74" s="329"/>
      <c r="E74" s="329"/>
      <c r="F74" s="329"/>
      <c r="G74" s="329"/>
      <c r="H74" s="329"/>
      <c r="I74" s="329"/>
      <c r="J74" s="351"/>
      <c r="K74" s="351"/>
      <c r="L74" s="352"/>
      <c r="M74" s="352"/>
      <c r="N74" s="353"/>
      <c r="O74" s="353"/>
      <c r="P74" s="353"/>
    </row>
    <row r="75" spans="2:16">
      <c r="B75" s="329"/>
      <c r="C75" s="329"/>
      <c r="D75" s="329"/>
      <c r="E75" s="329"/>
      <c r="F75" s="329"/>
      <c r="G75" s="329"/>
      <c r="H75" s="329"/>
      <c r="I75" s="329"/>
      <c r="J75" s="351"/>
      <c r="K75" s="351"/>
      <c r="L75" s="352"/>
      <c r="M75" s="352"/>
      <c r="N75" s="353"/>
      <c r="O75" s="353"/>
      <c r="P75" s="353"/>
    </row>
    <row r="76" spans="2:16">
      <c r="B76" s="329"/>
      <c r="C76" s="329"/>
      <c r="D76" s="329"/>
      <c r="E76" s="329"/>
      <c r="F76" s="329"/>
      <c r="G76" s="329"/>
      <c r="H76" s="329"/>
      <c r="I76" s="329"/>
      <c r="J76" s="329"/>
      <c r="K76" s="329"/>
    </row>
    <row r="77" spans="2:16">
      <c r="B77" s="329"/>
      <c r="C77" s="329"/>
      <c r="D77" s="329"/>
      <c r="E77" s="329"/>
      <c r="F77" s="329"/>
      <c r="G77" s="329"/>
      <c r="H77" s="329"/>
      <c r="I77" s="329"/>
      <c r="J77" s="329"/>
      <c r="K77" s="329"/>
    </row>
    <row r="78" spans="2:16">
      <c r="B78" s="329"/>
      <c r="C78" s="329"/>
      <c r="D78" s="329"/>
      <c r="E78" s="329"/>
      <c r="F78" s="329"/>
      <c r="G78" s="329"/>
      <c r="H78" s="329"/>
      <c r="I78" s="329"/>
      <c r="J78" s="329"/>
      <c r="K78" s="329"/>
    </row>
    <row r="79" spans="2:16">
      <c r="J79" s="352"/>
      <c r="K79" s="352"/>
      <c r="L79" s="352"/>
      <c r="M79" s="352"/>
      <c r="N79" s="353"/>
      <c r="O79" s="353"/>
      <c r="P79" s="353"/>
    </row>
    <row r="80" spans="2:16">
      <c r="J80" s="352"/>
      <c r="K80" s="352"/>
      <c r="L80" s="352"/>
      <c r="M80" s="352"/>
      <c r="N80" s="353"/>
      <c r="O80" s="353"/>
      <c r="P80" s="353"/>
    </row>
    <row r="81" spans="10:16">
      <c r="J81" s="352"/>
      <c r="K81" s="352"/>
      <c r="L81" s="352"/>
      <c r="M81" s="352"/>
      <c r="N81" s="353"/>
      <c r="O81" s="353"/>
      <c r="P81" s="353"/>
    </row>
    <row r="82" spans="10:16">
      <c r="J82" s="352"/>
      <c r="K82" s="352"/>
      <c r="L82" s="352"/>
      <c r="M82" s="352"/>
      <c r="N82" s="353"/>
      <c r="O82" s="353"/>
      <c r="P82" s="353"/>
    </row>
  </sheetData>
  <mergeCells count="5">
    <mergeCell ref="B57:K57"/>
    <mergeCell ref="B2:H2"/>
    <mergeCell ref="B18:H18"/>
    <mergeCell ref="B40:K40"/>
    <mergeCell ref="B49:K49"/>
  </mergeCells>
  <phoneticPr fontId="141"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617A2-23DE-4C33-ACD5-05787BC8043C}">
  <dimension ref="A1:O38"/>
  <sheetViews>
    <sheetView workbookViewId="0">
      <selection activeCell="N1" sqref="N1"/>
    </sheetView>
  </sheetViews>
  <sheetFormatPr defaultRowHeight="15"/>
  <cols>
    <col min="1" max="1" width="5.140625" style="85" customWidth="1"/>
    <col min="2" max="2" width="10.85546875" style="85" customWidth="1"/>
    <col min="3" max="3" width="16.85546875" style="85" customWidth="1"/>
    <col min="4" max="4" width="11.5703125" style="85" customWidth="1"/>
    <col min="5" max="5" width="9.140625" style="85"/>
    <col min="6" max="6" width="8.5703125" style="85" customWidth="1"/>
    <col min="7" max="7" width="9.140625" style="85"/>
    <col min="8" max="8" width="10.140625" style="85" customWidth="1"/>
    <col min="9" max="16384" width="9.140625" style="85"/>
  </cols>
  <sheetData>
    <row r="1" spans="1:15" ht="15.75">
      <c r="A1" s="1075"/>
      <c r="B1" s="1075"/>
      <c r="C1" s="1075"/>
      <c r="D1" s="1075"/>
      <c r="E1" s="1075"/>
      <c r="F1" s="1075"/>
      <c r="G1" s="1075"/>
      <c r="H1" s="1075"/>
      <c r="N1" s="886" t="s">
        <v>1991</v>
      </c>
      <c r="O1" s="145"/>
    </row>
    <row r="2" spans="1:15">
      <c r="A2" s="1076" t="s">
        <v>149</v>
      </c>
      <c r="B2" s="1076"/>
      <c r="C2" s="1076"/>
      <c r="D2" s="1076"/>
      <c r="E2" s="1076"/>
      <c r="F2" s="1076"/>
      <c r="G2" s="1076"/>
      <c r="H2" s="1076"/>
    </row>
    <row r="3" spans="1:15">
      <c r="A3" s="92" t="s">
        <v>1073</v>
      </c>
      <c r="B3" s="92" t="s">
        <v>150</v>
      </c>
      <c r="C3" s="92" t="s">
        <v>151</v>
      </c>
      <c r="D3" s="92" t="s">
        <v>132</v>
      </c>
      <c r="E3" s="92" t="s">
        <v>152</v>
      </c>
      <c r="F3" s="92" t="s">
        <v>153</v>
      </c>
      <c r="G3" s="92" t="s">
        <v>154</v>
      </c>
      <c r="H3" s="92" t="s">
        <v>155</v>
      </c>
    </row>
    <row r="4" spans="1:15">
      <c r="A4" s="97">
        <v>1</v>
      </c>
      <c r="B4" s="98" t="s">
        <v>156</v>
      </c>
      <c r="C4" s="93" t="str">
        <f>VLOOKUP(LEFT(B4,1)&amp;RIGHT(B4,2),$B$17:$E$20,2,0)</f>
        <v>§Üa mÒm 1.2Mb</v>
      </c>
      <c r="D4" s="662">
        <v>36136</v>
      </c>
      <c r="E4" s="93" t="str">
        <f>VLOOKUP(LEFT(B4,1)&amp;RIGHT(B4,2),$B$17:$E$20,3,0)</f>
        <v xml:space="preserve">Thïng </v>
      </c>
      <c r="F4" s="97">
        <v>5</v>
      </c>
      <c r="G4" s="93">
        <f>VLOOKUP(LEFT(B4,1)&amp;RIGHT(B4,2),$B$17:$E$20,4,0)</f>
        <v>120</v>
      </c>
      <c r="H4" s="94">
        <f>F4*G4</f>
        <v>600</v>
      </c>
    </row>
    <row r="5" spans="1:15">
      <c r="A5" s="97">
        <v>5</v>
      </c>
      <c r="B5" s="98" t="s">
        <v>157</v>
      </c>
      <c r="C5" s="93" t="str">
        <f t="shared" ref="C5:C13" si="0">VLOOKUP(LEFT(B5,1)&amp;RIGHT(B5,2),$B$17:$E$20,2,0)</f>
        <v>§Üa CD 740Mb</v>
      </c>
      <c r="D5" s="662">
        <v>36136</v>
      </c>
      <c r="E5" s="93" t="str">
        <f t="shared" ref="E5:E13" si="1">VLOOKUP(LEFT(B5,1)&amp;RIGHT(B5,2),$B$17:$E$20,3,0)</f>
        <v xml:space="preserve">Thïng </v>
      </c>
      <c r="F5" s="97">
        <v>5</v>
      </c>
      <c r="G5" s="93">
        <f t="shared" ref="G5:G13" si="2">VLOOKUP(LEFT(B5,1)&amp;RIGHT(B5,2),$B$17:$E$20,4,0)</f>
        <v>200</v>
      </c>
      <c r="H5" s="94">
        <f t="shared" ref="H5:H13" si="3">F5*G5</f>
        <v>1000</v>
      </c>
    </row>
    <row r="6" spans="1:15">
      <c r="A6" s="97">
        <v>3</v>
      </c>
      <c r="B6" s="98" t="s">
        <v>157</v>
      </c>
      <c r="C6" s="93" t="str">
        <f t="shared" si="0"/>
        <v>§Üa CD 740Mb</v>
      </c>
      <c r="D6" s="662">
        <v>36137</v>
      </c>
      <c r="E6" s="93" t="str">
        <f t="shared" si="1"/>
        <v xml:space="preserve">Thïng </v>
      </c>
      <c r="F6" s="97">
        <v>12</v>
      </c>
      <c r="G6" s="93">
        <f t="shared" si="2"/>
        <v>200</v>
      </c>
      <c r="H6" s="94">
        <f t="shared" si="3"/>
        <v>2400</v>
      </c>
    </row>
    <row r="7" spans="1:15">
      <c r="A7" s="97">
        <v>4</v>
      </c>
      <c r="B7" s="98" t="s">
        <v>158</v>
      </c>
      <c r="C7" s="93" t="str">
        <f t="shared" si="0"/>
        <v>§Üa mÒm 1.4Mb</v>
      </c>
      <c r="D7" s="662">
        <v>36138</v>
      </c>
      <c r="E7" s="93" t="str">
        <f t="shared" si="1"/>
        <v xml:space="preserve">Thïng </v>
      </c>
      <c r="F7" s="97">
        <v>7</v>
      </c>
      <c r="G7" s="93">
        <f t="shared" si="2"/>
        <v>140</v>
      </c>
      <c r="H7" s="94">
        <f t="shared" si="3"/>
        <v>980</v>
      </c>
    </row>
    <row r="8" spans="1:15">
      <c r="A8" s="97">
        <v>2</v>
      </c>
      <c r="B8" s="98" t="s">
        <v>156</v>
      </c>
      <c r="C8" s="93" t="str">
        <f t="shared" si="0"/>
        <v>§Üa mÒm 1.2Mb</v>
      </c>
      <c r="D8" s="662">
        <v>36139</v>
      </c>
      <c r="E8" s="93" t="str">
        <f t="shared" si="1"/>
        <v xml:space="preserve">Thïng </v>
      </c>
      <c r="F8" s="97">
        <v>6</v>
      </c>
      <c r="G8" s="93">
        <f t="shared" si="2"/>
        <v>120</v>
      </c>
      <c r="H8" s="94">
        <f t="shared" si="3"/>
        <v>720</v>
      </c>
    </row>
    <row r="9" spans="1:15">
      <c r="A9" s="97">
        <v>7</v>
      </c>
      <c r="B9" s="98" t="s">
        <v>159</v>
      </c>
      <c r="C9" s="93" t="str">
        <f t="shared" si="0"/>
        <v>§Üa cøng 3.2Mb</v>
      </c>
      <c r="D9" s="662">
        <v>36140</v>
      </c>
      <c r="E9" s="93" t="str">
        <f t="shared" si="1"/>
        <v>C¸i</v>
      </c>
      <c r="F9" s="97">
        <v>3</v>
      </c>
      <c r="G9" s="93">
        <f t="shared" si="2"/>
        <v>125</v>
      </c>
      <c r="H9" s="94">
        <f t="shared" si="3"/>
        <v>375</v>
      </c>
    </row>
    <row r="10" spans="1:15">
      <c r="A10" s="97">
        <v>6</v>
      </c>
      <c r="B10" s="98" t="s">
        <v>159</v>
      </c>
      <c r="C10" s="93" t="str">
        <f t="shared" si="0"/>
        <v>§Üa cøng 3.2Mb</v>
      </c>
      <c r="D10" s="662">
        <v>36141</v>
      </c>
      <c r="E10" s="93" t="str">
        <f t="shared" si="1"/>
        <v>C¸i</v>
      </c>
      <c r="F10" s="97">
        <v>2</v>
      </c>
      <c r="G10" s="93">
        <f t="shared" si="2"/>
        <v>125</v>
      </c>
      <c r="H10" s="94">
        <f t="shared" si="3"/>
        <v>250</v>
      </c>
    </row>
    <row r="11" spans="1:15">
      <c r="A11" s="97">
        <v>8</v>
      </c>
      <c r="B11" s="98" t="s">
        <v>158</v>
      </c>
      <c r="C11" s="93" t="str">
        <f t="shared" si="0"/>
        <v>§Üa mÒm 1.4Mb</v>
      </c>
      <c r="D11" s="662">
        <v>36142</v>
      </c>
      <c r="E11" s="93" t="str">
        <f t="shared" si="1"/>
        <v xml:space="preserve">Thïng </v>
      </c>
      <c r="F11" s="97">
        <v>10</v>
      </c>
      <c r="G11" s="93">
        <f t="shared" si="2"/>
        <v>140</v>
      </c>
      <c r="H11" s="94">
        <f t="shared" si="3"/>
        <v>1400</v>
      </c>
    </row>
    <row r="12" spans="1:15">
      <c r="A12" s="97">
        <v>9</v>
      </c>
      <c r="B12" s="98" t="s">
        <v>157</v>
      </c>
      <c r="C12" s="93" t="str">
        <f t="shared" si="0"/>
        <v>§Üa CD 740Mb</v>
      </c>
      <c r="D12" s="662">
        <v>36143</v>
      </c>
      <c r="E12" s="93" t="str">
        <f t="shared" si="1"/>
        <v xml:space="preserve">Thïng </v>
      </c>
      <c r="F12" s="97">
        <v>4</v>
      </c>
      <c r="G12" s="93">
        <f t="shared" si="2"/>
        <v>200</v>
      </c>
      <c r="H12" s="94">
        <f t="shared" si="3"/>
        <v>800</v>
      </c>
    </row>
    <row r="13" spans="1:15">
      <c r="A13" s="97">
        <v>10</v>
      </c>
      <c r="B13" s="98" t="s">
        <v>156</v>
      </c>
      <c r="C13" s="93" t="str">
        <f t="shared" si="0"/>
        <v>§Üa mÒm 1.2Mb</v>
      </c>
      <c r="D13" s="662">
        <v>36143</v>
      </c>
      <c r="E13" s="93" t="str">
        <f t="shared" si="1"/>
        <v xml:space="preserve">Thïng </v>
      </c>
      <c r="F13" s="97">
        <v>20</v>
      </c>
      <c r="G13" s="93">
        <f t="shared" si="2"/>
        <v>120</v>
      </c>
      <c r="H13" s="94">
        <f t="shared" si="3"/>
        <v>2400</v>
      </c>
    </row>
    <row r="14" spans="1:15" ht="15.75">
      <c r="A14" s="1077" t="s">
        <v>160</v>
      </c>
      <c r="B14" s="1077"/>
      <c r="C14" s="1077"/>
      <c r="D14" s="1077"/>
      <c r="E14" s="1077"/>
      <c r="F14" s="1077"/>
      <c r="G14" s="1077"/>
      <c r="H14" s="95">
        <f>SUM(H4:H13)</f>
        <v>10925</v>
      </c>
    </row>
    <row r="15" spans="1:15">
      <c r="B15" s="1078" t="s">
        <v>161</v>
      </c>
      <c r="C15" s="1078"/>
      <c r="D15" s="1078"/>
      <c r="E15" s="1078"/>
    </row>
    <row r="16" spans="1:15">
      <c r="B16" s="92" t="s">
        <v>162</v>
      </c>
      <c r="C16" s="92" t="s">
        <v>163</v>
      </c>
      <c r="D16" s="92" t="s">
        <v>152</v>
      </c>
      <c r="E16" s="92" t="s">
        <v>154</v>
      </c>
    </row>
    <row r="17" spans="2:11">
      <c r="B17" s="93" t="s">
        <v>164</v>
      </c>
      <c r="C17" s="93" t="s">
        <v>165</v>
      </c>
      <c r="D17" s="93" t="s">
        <v>166</v>
      </c>
      <c r="E17" s="93">
        <v>140</v>
      </c>
    </row>
    <row r="18" spans="2:11">
      <c r="B18" s="93" t="s">
        <v>167</v>
      </c>
      <c r="C18" s="93" t="s">
        <v>168</v>
      </c>
      <c r="D18" s="93" t="s">
        <v>166</v>
      </c>
      <c r="E18" s="93">
        <v>120</v>
      </c>
    </row>
    <row r="19" spans="2:11">
      <c r="B19" s="93" t="s">
        <v>169</v>
      </c>
      <c r="C19" s="93" t="s">
        <v>170</v>
      </c>
      <c r="D19" s="93" t="s">
        <v>166</v>
      </c>
      <c r="E19" s="93">
        <v>200</v>
      </c>
    </row>
    <row r="20" spans="2:11">
      <c r="B20" s="93" t="s">
        <v>171</v>
      </c>
      <c r="C20" s="93" t="s">
        <v>172</v>
      </c>
      <c r="D20" s="93" t="s">
        <v>173</v>
      </c>
      <c r="E20" s="93">
        <v>125</v>
      </c>
    </row>
    <row r="21" spans="2:11">
      <c r="B21" s="1073" t="s">
        <v>174</v>
      </c>
      <c r="C21" s="1073"/>
      <c r="D21" s="1073"/>
    </row>
    <row r="22" spans="2:11">
      <c r="B22" s="92" t="s">
        <v>175</v>
      </c>
      <c r="C22" s="92" t="s">
        <v>176</v>
      </c>
      <c r="D22" s="92" t="s">
        <v>177</v>
      </c>
      <c r="F22" s="92" t="s">
        <v>150</v>
      </c>
      <c r="G22" s="96" t="s">
        <v>150</v>
      </c>
      <c r="H22" s="92" t="s">
        <v>150</v>
      </c>
    </row>
    <row r="23" spans="2:11">
      <c r="B23" s="97">
        <f>DSUM(A3:H13,H3,F22:F24)</f>
        <v>6100</v>
      </c>
      <c r="C23" s="97">
        <f>DSUM(A3:H13,H3,G22:G23)</f>
        <v>625</v>
      </c>
      <c r="D23" s="97">
        <f>DSUM(A3:H13,H3,H22:H23)</f>
        <v>4200</v>
      </c>
      <c r="F23" s="98" t="s">
        <v>158</v>
      </c>
      <c r="G23" s="99" t="s">
        <v>159</v>
      </c>
      <c r="H23" s="97" t="s">
        <v>157</v>
      </c>
    </row>
    <row r="24" spans="2:11">
      <c r="B24" s="85" t="s">
        <v>178</v>
      </c>
      <c r="F24" s="98" t="s">
        <v>156</v>
      </c>
    </row>
    <row r="26" spans="2:11">
      <c r="B26" s="1074" t="s">
        <v>174</v>
      </c>
      <c r="C26" s="1074"/>
      <c r="D26" s="1074"/>
    </row>
    <row r="27" spans="2:11">
      <c r="B27" s="92" t="s">
        <v>175</v>
      </c>
      <c r="C27" s="92" t="s">
        <v>176</v>
      </c>
      <c r="D27" s="92" t="s">
        <v>177</v>
      </c>
    </row>
    <row r="28" spans="2:11">
      <c r="B28" s="97">
        <f>SUMIF(B4:B13,"SD1M4",H4:H13)+SUMIF(B4:B13,"SD1M2",H4:H13)</f>
        <v>6100</v>
      </c>
      <c r="C28" s="97">
        <f>SUMIF(B4:B13,"HDM64",H4:H13)</f>
        <v>625</v>
      </c>
      <c r="D28" s="97">
        <f>SUMIF(B4:B13,"CDM74",H4:H13)</f>
        <v>4200</v>
      </c>
    </row>
    <row r="29" spans="2:11" customFormat="1" ht="12.75"/>
    <row r="30" spans="2:11" ht="15.75">
      <c r="B30" s="787"/>
      <c r="C30" s="787"/>
      <c r="D30" s="787"/>
      <c r="E30" s="787"/>
      <c r="F30" s="787"/>
      <c r="G30" s="787"/>
      <c r="H30" s="787"/>
      <c r="I30" s="787"/>
      <c r="J30" s="787"/>
      <c r="K30" s="787"/>
    </row>
    <row r="31" spans="2:11" ht="15.75">
      <c r="B31" s="788" t="s">
        <v>180</v>
      </c>
      <c r="C31" s="787"/>
      <c r="D31" s="787"/>
      <c r="E31" s="787"/>
      <c r="F31" s="787"/>
      <c r="G31" s="787"/>
      <c r="H31" s="787"/>
      <c r="I31" s="787"/>
      <c r="J31" s="787"/>
      <c r="K31" s="787"/>
    </row>
    <row r="32" spans="2:11" ht="15.75">
      <c r="B32" s="788" t="s">
        <v>137</v>
      </c>
      <c r="C32" s="787"/>
      <c r="D32" s="787"/>
      <c r="E32" s="787"/>
      <c r="F32" s="787"/>
      <c r="G32" s="787"/>
      <c r="H32" s="787"/>
      <c r="I32" s="787"/>
      <c r="J32" s="787"/>
      <c r="K32" s="787"/>
    </row>
    <row r="33" spans="2:11" ht="15.75">
      <c r="B33" s="788" t="s">
        <v>181</v>
      </c>
      <c r="C33" s="787"/>
      <c r="D33" s="787"/>
      <c r="E33" s="787"/>
      <c r="F33" s="787"/>
      <c r="G33" s="787"/>
      <c r="H33" s="787"/>
      <c r="I33" s="787"/>
      <c r="J33" s="787"/>
      <c r="K33" s="787"/>
    </row>
    <row r="34" spans="2:11" ht="15.75">
      <c r="B34" s="788" t="s">
        <v>182</v>
      </c>
      <c r="C34" s="787"/>
      <c r="D34" s="787"/>
      <c r="E34" s="787"/>
      <c r="F34" s="787"/>
      <c r="G34" s="787"/>
      <c r="H34" s="787"/>
      <c r="I34" s="787"/>
      <c r="J34" s="787"/>
      <c r="K34" s="787"/>
    </row>
    <row r="35" spans="2:11" ht="15.75">
      <c r="B35" s="788" t="s">
        <v>183</v>
      </c>
      <c r="C35" s="787"/>
      <c r="D35" s="787"/>
      <c r="E35" s="787"/>
      <c r="F35" s="787"/>
      <c r="G35" s="787"/>
      <c r="H35" s="787"/>
      <c r="I35" s="787"/>
      <c r="J35" s="787"/>
      <c r="K35" s="787"/>
    </row>
    <row r="36" spans="2:11" ht="15.75">
      <c r="B36" s="788" t="s">
        <v>184</v>
      </c>
      <c r="C36" s="787"/>
      <c r="D36" s="787"/>
      <c r="E36" s="787"/>
      <c r="F36" s="787"/>
      <c r="G36" s="787"/>
      <c r="H36" s="787"/>
      <c r="I36" s="787"/>
      <c r="J36" s="787"/>
      <c r="K36" s="787"/>
    </row>
    <row r="37" spans="2:11" ht="15.75">
      <c r="B37" s="788" t="s">
        <v>185</v>
      </c>
      <c r="C37" s="787"/>
      <c r="D37" s="787"/>
      <c r="E37" s="787"/>
      <c r="F37" s="787"/>
      <c r="G37" s="787"/>
      <c r="H37" s="787"/>
      <c r="I37" s="787"/>
      <c r="J37" s="787"/>
      <c r="K37" s="787"/>
    </row>
    <row r="38" spans="2:11" ht="15.75">
      <c r="B38" s="789" t="s">
        <v>186</v>
      </c>
      <c r="C38" s="787"/>
      <c r="D38" s="787"/>
      <c r="E38" s="787"/>
      <c r="F38" s="787"/>
      <c r="G38" s="787"/>
      <c r="H38" s="787"/>
      <c r="I38" s="787"/>
      <c r="J38" s="787"/>
      <c r="K38" s="787"/>
    </row>
  </sheetData>
  <mergeCells count="6">
    <mergeCell ref="B21:D21"/>
    <mergeCell ref="B26:D26"/>
    <mergeCell ref="A1:H1"/>
    <mergeCell ref="A2:H2"/>
    <mergeCell ref="A14:G14"/>
    <mergeCell ref="B15:E15"/>
  </mergeCells>
  <phoneticPr fontId="141"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51BF4-CB76-4607-983E-C93EB8BB066A}">
  <sheetPr>
    <tabColor rgb="FF0000FF"/>
  </sheetPr>
  <dimension ref="A1:U32"/>
  <sheetViews>
    <sheetView workbookViewId="0">
      <selection activeCell="D1" sqref="D1:E1"/>
    </sheetView>
  </sheetViews>
  <sheetFormatPr defaultRowHeight="15"/>
  <cols>
    <col min="1" max="1" width="6.28515625" style="10" customWidth="1"/>
    <col min="2" max="2" width="16" style="10" customWidth="1"/>
    <col min="3" max="3" width="9.140625" style="10"/>
    <col min="4" max="4" width="15.28515625" style="10" customWidth="1"/>
    <col min="5" max="5" width="7.42578125" style="10" customWidth="1"/>
    <col min="6" max="6" width="9.140625" style="10"/>
    <col min="7" max="7" width="10.85546875" style="10" customWidth="1"/>
    <col min="8" max="8" width="10.28515625" style="10" customWidth="1"/>
    <col min="9" max="9" width="15" style="10" customWidth="1"/>
    <col min="10" max="10" width="10.85546875" style="10" customWidth="1"/>
    <col min="11" max="11" width="11.140625" style="10" customWidth="1"/>
    <col min="12" max="12" width="3.5703125" style="10" customWidth="1"/>
    <col min="13" max="16384" width="9.140625" style="10"/>
  </cols>
  <sheetData>
    <row r="1" spans="1:21" ht="15.75">
      <c r="D1" s="886"/>
      <c r="E1" s="145"/>
    </row>
    <row r="2" spans="1:21">
      <c r="A2" s="1155" t="s">
        <v>712</v>
      </c>
      <c r="B2" s="1155"/>
      <c r="C2" s="1155"/>
      <c r="D2" s="1155"/>
      <c r="F2" s="1155" t="s">
        <v>713</v>
      </c>
      <c r="G2" s="1155"/>
    </row>
    <row r="3" spans="1:21" ht="45.75" customHeight="1">
      <c r="A3" s="359" t="s">
        <v>714</v>
      </c>
      <c r="B3" s="359" t="s">
        <v>715</v>
      </c>
      <c r="C3" s="359" t="s">
        <v>716</v>
      </c>
      <c r="D3" s="359" t="s">
        <v>717</v>
      </c>
      <c r="F3" s="359" t="s">
        <v>388</v>
      </c>
      <c r="G3" s="359" t="s">
        <v>718</v>
      </c>
      <c r="I3" s="360" t="s">
        <v>715</v>
      </c>
      <c r="J3" s="360" t="s">
        <v>719</v>
      </c>
      <c r="K3" s="360" t="s">
        <v>335</v>
      </c>
      <c r="M3" s="361" t="s">
        <v>720</v>
      </c>
      <c r="N3" s="361"/>
      <c r="O3" s="361"/>
      <c r="P3" s="361"/>
      <c r="Q3" s="361"/>
      <c r="R3" s="361"/>
      <c r="S3" s="361"/>
      <c r="T3" s="361"/>
      <c r="U3" s="361"/>
    </row>
    <row r="4" spans="1:21">
      <c r="A4" s="362" t="s">
        <v>721</v>
      </c>
      <c r="B4" s="362" t="s">
        <v>722</v>
      </c>
      <c r="C4" s="362">
        <v>2000</v>
      </c>
      <c r="D4" s="362">
        <v>2300</v>
      </c>
      <c r="F4" s="362" t="s">
        <v>1139</v>
      </c>
      <c r="G4" s="363">
        <v>0.02</v>
      </c>
      <c r="I4" s="362" t="s">
        <v>722</v>
      </c>
      <c r="J4" s="364">
        <f>SUMIF($D$13:$D$32,I4,$H$13:$H$32)</f>
        <v>15274100</v>
      </c>
      <c r="K4" s="364">
        <f>SUMIF($D$13:$D$32,I4,$J$13:$J$32)</f>
        <v>15485062</v>
      </c>
      <c r="M4" s="361" t="s">
        <v>723</v>
      </c>
      <c r="N4" s="361"/>
      <c r="O4" s="361"/>
      <c r="P4" s="361"/>
      <c r="Q4" s="361"/>
      <c r="R4" s="361"/>
      <c r="S4" s="361"/>
      <c r="T4" s="361"/>
      <c r="U4" s="361"/>
    </row>
    <row r="5" spans="1:21">
      <c r="A5" s="362" t="s">
        <v>724</v>
      </c>
      <c r="B5" s="362" t="s">
        <v>725</v>
      </c>
      <c r="C5" s="362">
        <v>2400</v>
      </c>
      <c r="D5" s="362">
        <v>2700</v>
      </c>
      <c r="F5" s="362" t="s">
        <v>1140</v>
      </c>
      <c r="G5" s="363">
        <v>5.0000000000000001E-3</v>
      </c>
      <c r="I5" s="362" t="s">
        <v>725</v>
      </c>
      <c r="J5" s="365">
        <f>SUMIF($D$13:$D$32,I5,$H$13:$H$32)</f>
        <v>783900</v>
      </c>
      <c r="K5" s="365">
        <f>SUMIF($D$13:$D$32,I5,$J$13:$J$32)</f>
        <v>807417</v>
      </c>
      <c r="M5" s="361" t="s">
        <v>726</v>
      </c>
      <c r="N5" s="361"/>
      <c r="O5" s="361"/>
      <c r="P5" s="361"/>
      <c r="Q5" s="361"/>
      <c r="R5" s="361"/>
      <c r="S5" s="361"/>
      <c r="T5" s="361"/>
      <c r="U5" s="361"/>
    </row>
    <row r="6" spans="1:21">
      <c r="A6" s="362" t="s">
        <v>727</v>
      </c>
      <c r="B6" s="362" t="s">
        <v>728</v>
      </c>
      <c r="C6" s="362">
        <v>2200</v>
      </c>
      <c r="D6" s="362">
        <v>2500</v>
      </c>
      <c r="F6" s="362" t="s">
        <v>1141</v>
      </c>
      <c r="G6" s="363">
        <v>0.01</v>
      </c>
      <c r="I6" s="362" t="s">
        <v>728</v>
      </c>
      <c r="J6" s="366">
        <f>SUMIF($D$13:$D$32,I6,$H$13:$H$32)</f>
        <v>2820600</v>
      </c>
      <c r="K6" s="366">
        <f>SUMIF($D$13:$D$32,I6,$J$13:$J$32)</f>
        <v>2897604</v>
      </c>
      <c r="M6" s="361" t="s">
        <v>729</v>
      </c>
      <c r="N6" s="361"/>
      <c r="O6" s="361"/>
      <c r="P6" s="361"/>
      <c r="Q6" s="361"/>
      <c r="R6" s="361"/>
      <c r="S6" s="361"/>
      <c r="T6" s="361"/>
      <c r="U6" s="361"/>
    </row>
    <row r="7" spans="1:21">
      <c r="A7" s="362" t="s">
        <v>730</v>
      </c>
      <c r="B7" s="362" t="s">
        <v>731</v>
      </c>
      <c r="C7" s="362">
        <v>2600</v>
      </c>
      <c r="D7" s="362">
        <v>3000</v>
      </c>
      <c r="F7" s="362" t="s">
        <v>1218</v>
      </c>
      <c r="G7" s="363">
        <v>0.03</v>
      </c>
      <c r="I7" s="362" t="s">
        <v>731</v>
      </c>
      <c r="J7" s="367">
        <f>SUMIF($D$13:$D$32,I7,$H$13:$H$32)</f>
        <v>9450000</v>
      </c>
      <c r="K7" s="367">
        <f>SUMIF($D$13:$D$32,I7,$J$13:$J$32)</f>
        <v>9629610</v>
      </c>
      <c r="M7" s="361"/>
      <c r="N7" s="361" t="s">
        <v>732</v>
      </c>
      <c r="O7" s="361"/>
      <c r="P7" s="361"/>
      <c r="Q7" s="361"/>
      <c r="R7" s="361"/>
      <c r="S7" s="361"/>
      <c r="T7" s="361"/>
      <c r="U7" s="361"/>
    </row>
    <row r="8" spans="1:21">
      <c r="A8" s="362" t="s">
        <v>733</v>
      </c>
      <c r="B8" s="362" t="s">
        <v>734</v>
      </c>
      <c r="C8" s="362">
        <v>2300</v>
      </c>
      <c r="D8" s="362">
        <v>2500</v>
      </c>
      <c r="F8" s="362" t="s">
        <v>735</v>
      </c>
      <c r="G8" s="363">
        <v>2.5000000000000001E-2</v>
      </c>
      <c r="I8" s="362" t="s">
        <v>734</v>
      </c>
      <c r="J8" s="604">
        <f>SUMIF($D$13:$D$32,I8,$H$13:$H$32)</f>
        <v>6683600</v>
      </c>
      <c r="K8" s="604">
        <f>SUMIF($D$13:$D$32,I8,$J$13:$J$32)</f>
        <v>6827934</v>
      </c>
      <c r="M8" s="361" t="s">
        <v>736</v>
      </c>
      <c r="N8" s="361"/>
      <c r="O8" s="361"/>
      <c r="P8" s="361"/>
      <c r="Q8" s="361"/>
      <c r="R8" s="361"/>
      <c r="S8" s="361"/>
      <c r="T8" s="361"/>
      <c r="U8" s="361"/>
    </row>
    <row r="9" spans="1:21">
      <c r="M9" s="361"/>
      <c r="N9" s="361" t="s">
        <v>737</v>
      </c>
      <c r="O9" s="361"/>
      <c r="P9" s="361"/>
      <c r="Q9" s="361"/>
      <c r="R9" s="361"/>
      <c r="S9" s="361"/>
      <c r="T9" s="361"/>
      <c r="U9" s="361"/>
    </row>
    <row r="10" spans="1:21">
      <c r="A10" s="10" t="s">
        <v>738</v>
      </c>
      <c r="D10" s="1156" t="s">
        <v>739</v>
      </c>
      <c r="E10" s="1156"/>
      <c r="F10" s="1156"/>
      <c r="G10" s="1156"/>
      <c r="M10" s="361" t="s">
        <v>740</v>
      </c>
      <c r="N10" s="361"/>
      <c r="O10" s="361"/>
      <c r="P10" s="361"/>
      <c r="Q10" s="361"/>
      <c r="R10" s="361"/>
      <c r="S10" s="361"/>
      <c r="T10" s="361"/>
      <c r="U10" s="361"/>
    </row>
    <row r="11" spans="1:21">
      <c r="F11" s="10" t="s">
        <v>741</v>
      </c>
      <c r="M11" s="361" t="s">
        <v>742</v>
      </c>
      <c r="N11" s="361"/>
      <c r="O11" s="361"/>
      <c r="P11" s="361"/>
      <c r="Q11" s="361"/>
      <c r="R11" s="361"/>
      <c r="S11" s="361"/>
      <c r="T11" s="361"/>
      <c r="U11" s="361"/>
    </row>
    <row r="12" spans="1:21" ht="28.5">
      <c r="A12" s="359" t="s">
        <v>1073</v>
      </c>
      <c r="B12" s="359" t="s">
        <v>743</v>
      </c>
      <c r="C12" s="359" t="s">
        <v>744</v>
      </c>
      <c r="D12" s="359" t="s">
        <v>715</v>
      </c>
      <c r="E12" s="359" t="s">
        <v>745</v>
      </c>
      <c r="F12" s="359" t="s">
        <v>746</v>
      </c>
      <c r="G12" s="359" t="s">
        <v>747</v>
      </c>
      <c r="H12" s="359" t="s">
        <v>748</v>
      </c>
      <c r="I12" s="359" t="s">
        <v>749</v>
      </c>
      <c r="J12" s="359" t="s">
        <v>335</v>
      </c>
      <c r="M12" s="361" t="s">
        <v>750</v>
      </c>
      <c r="N12" s="361"/>
      <c r="O12" s="361"/>
      <c r="P12" s="361"/>
      <c r="Q12" s="361"/>
      <c r="R12" s="361"/>
      <c r="S12" s="361"/>
      <c r="T12" s="361"/>
      <c r="U12" s="361"/>
    </row>
    <row r="13" spans="1:21">
      <c r="A13" s="734">
        <v>1</v>
      </c>
      <c r="B13" s="368">
        <v>35557</v>
      </c>
      <c r="C13" s="362" t="s">
        <v>751</v>
      </c>
      <c r="D13" s="690" t="str">
        <f>VLOOKUP(LEFT(C13,2),$A$4:$D$8,2,0)</f>
        <v>Sữa Chua Dừa</v>
      </c>
      <c r="E13" s="362">
        <v>128</v>
      </c>
      <c r="F13" s="690">
        <f>INT(E13/24)</f>
        <v>5</v>
      </c>
      <c r="G13" s="690">
        <f>MOD(E13,24)</f>
        <v>8</v>
      </c>
      <c r="H13" s="690">
        <f>24*F13*VLOOKUP(LEFT(C13,2),$A$4:$D$8,3,0)+G13*VLOOKUP(LEFT(C13,2),$A$4:$D$8,4,0)</f>
        <v>258400</v>
      </c>
      <c r="I13" s="690">
        <f>H13*VLOOKUP(RIGHT(C13,1),$F$4:$G$8,2,0)</f>
        <v>5168</v>
      </c>
      <c r="J13" s="690">
        <f>H13+I13</f>
        <v>263568</v>
      </c>
    </row>
    <row r="14" spans="1:21">
      <c r="A14" s="734">
        <v>2</v>
      </c>
      <c r="B14" s="368">
        <v>35560</v>
      </c>
      <c r="C14" s="362" t="s">
        <v>752</v>
      </c>
      <c r="D14" s="690" t="str">
        <f t="shared" ref="D14:D32" si="0">VLOOKUP(LEFT(C14,2),$A$4:$D$8,2,0)</f>
        <v>Sữa Chua Chanh</v>
      </c>
      <c r="E14" s="362">
        <v>325</v>
      </c>
      <c r="F14" s="690">
        <f t="shared" ref="F14:F32" si="1">INT(E14/24)</f>
        <v>13</v>
      </c>
      <c r="G14" s="690">
        <f t="shared" ref="G14:G32" si="2">MOD(E14,24)</f>
        <v>13</v>
      </c>
      <c r="H14" s="690">
        <f t="shared" ref="H14:H32" si="3">24*F14*VLOOKUP(LEFT(C14,2),$A$4:$D$8,3,0)+G14*VLOOKUP(LEFT(C14,2),$A$4:$D$8,4,0)</f>
        <v>783900</v>
      </c>
      <c r="I14" s="690">
        <f t="shared" ref="I14:I32" si="4">H14*VLOOKUP(RIGHT(C14,1),$F$4:$G$8,2,0)</f>
        <v>23517</v>
      </c>
      <c r="J14" s="690">
        <f t="shared" ref="J14:J32" si="5">H14+I14</f>
        <v>807417</v>
      </c>
    </row>
    <row r="15" spans="1:21">
      <c r="A15" s="734">
        <v>3</v>
      </c>
      <c r="B15" s="368">
        <v>35565</v>
      </c>
      <c r="C15" s="362" t="s">
        <v>753</v>
      </c>
      <c r="D15" s="690" t="str">
        <f t="shared" si="0"/>
        <v>Sữa Chua Dâu</v>
      </c>
      <c r="E15" s="362">
        <v>456</v>
      </c>
      <c r="F15" s="690">
        <f t="shared" si="1"/>
        <v>19</v>
      </c>
      <c r="G15" s="690">
        <f t="shared" si="2"/>
        <v>0</v>
      </c>
      <c r="H15" s="690">
        <f t="shared" si="3"/>
        <v>1003200</v>
      </c>
      <c r="I15" s="690">
        <f t="shared" si="4"/>
        <v>30096</v>
      </c>
      <c r="J15" s="690">
        <f t="shared" si="5"/>
        <v>1033296</v>
      </c>
    </row>
    <row r="16" spans="1:21">
      <c r="A16" s="734">
        <v>4</v>
      </c>
      <c r="B16" s="368">
        <v>35572</v>
      </c>
      <c r="C16" s="362" t="s">
        <v>754</v>
      </c>
      <c r="D16" s="690" t="str">
        <f t="shared" si="0"/>
        <v>Sữa Chua Dừa</v>
      </c>
      <c r="E16" s="362">
        <v>2130</v>
      </c>
      <c r="F16" s="690">
        <f t="shared" si="1"/>
        <v>88</v>
      </c>
      <c r="G16" s="690">
        <f t="shared" si="2"/>
        <v>18</v>
      </c>
      <c r="H16" s="690">
        <f t="shared" si="3"/>
        <v>4265400</v>
      </c>
      <c r="I16" s="690">
        <f t="shared" si="4"/>
        <v>21327</v>
      </c>
      <c r="J16" s="690">
        <f t="shared" si="5"/>
        <v>4286727</v>
      </c>
    </row>
    <row r="17" spans="1:10">
      <c r="A17" s="734">
        <v>5</v>
      </c>
      <c r="B17" s="368">
        <v>35579</v>
      </c>
      <c r="C17" s="362" t="s">
        <v>755</v>
      </c>
      <c r="D17" s="690" t="str">
        <f t="shared" si="0"/>
        <v>Sữa Chua Dừa</v>
      </c>
      <c r="E17" s="362">
        <v>1345</v>
      </c>
      <c r="F17" s="690">
        <f t="shared" si="1"/>
        <v>56</v>
      </c>
      <c r="G17" s="690">
        <f t="shared" si="2"/>
        <v>1</v>
      </c>
      <c r="H17" s="690">
        <f t="shared" si="3"/>
        <v>2690300</v>
      </c>
      <c r="I17" s="690">
        <f t="shared" si="4"/>
        <v>67257.5</v>
      </c>
      <c r="J17" s="690">
        <f t="shared" si="5"/>
        <v>2757557.5</v>
      </c>
    </row>
    <row r="18" spans="1:10">
      <c r="A18" s="734">
        <v>6</v>
      </c>
      <c r="B18" s="368">
        <v>35582</v>
      </c>
      <c r="C18" s="362" t="s">
        <v>756</v>
      </c>
      <c r="D18" s="690" t="str">
        <f t="shared" si="0"/>
        <v>Sữa Chua Vải</v>
      </c>
      <c r="E18" s="362">
        <v>976</v>
      </c>
      <c r="F18" s="690">
        <f t="shared" si="1"/>
        <v>40</v>
      </c>
      <c r="G18" s="690">
        <f t="shared" si="2"/>
        <v>16</v>
      </c>
      <c r="H18" s="690">
        <f t="shared" si="3"/>
        <v>2248000</v>
      </c>
      <c r="I18" s="690">
        <f t="shared" si="4"/>
        <v>44960</v>
      </c>
      <c r="J18" s="690">
        <f t="shared" si="5"/>
        <v>2292960</v>
      </c>
    </row>
    <row r="19" spans="1:10">
      <c r="A19" s="734">
        <v>7</v>
      </c>
      <c r="B19" s="368">
        <v>35584</v>
      </c>
      <c r="C19" s="362" t="s">
        <v>757</v>
      </c>
      <c r="D19" s="690" t="str">
        <f t="shared" si="0"/>
        <v>Sữa Chua Dâu</v>
      </c>
      <c r="E19" s="362">
        <v>159</v>
      </c>
      <c r="F19" s="690">
        <f t="shared" si="1"/>
        <v>6</v>
      </c>
      <c r="G19" s="690">
        <f t="shared" si="2"/>
        <v>15</v>
      </c>
      <c r="H19" s="690">
        <f t="shared" si="3"/>
        <v>354300</v>
      </c>
      <c r="I19" s="690">
        <f t="shared" si="4"/>
        <v>7086</v>
      </c>
      <c r="J19" s="690">
        <f t="shared" si="5"/>
        <v>361386</v>
      </c>
    </row>
    <row r="20" spans="1:10">
      <c r="A20" s="734">
        <v>8</v>
      </c>
      <c r="B20" s="368">
        <v>35590</v>
      </c>
      <c r="C20" s="362" t="s">
        <v>758</v>
      </c>
      <c r="D20" s="690" t="str">
        <f t="shared" si="0"/>
        <v>Sữa Tươi TT</v>
      </c>
      <c r="E20" s="362">
        <v>1259</v>
      </c>
      <c r="F20" s="690">
        <f t="shared" si="1"/>
        <v>52</v>
      </c>
      <c r="G20" s="690">
        <f t="shared" si="2"/>
        <v>11</v>
      </c>
      <c r="H20" s="690">
        <f t="shared" si="3"/>
        <v>3277800</v>
      </c>
      <c r="I20" s="690">
        <f t="shared" si="4"/>
        <v>81945</v>
      </c>
      <c r="J20" s="690">
        <f t="shared" si="5"/>
        <v>3359745</v>
      </c>
    </row>
    <row r="21" spans="1:10">
      <c r="A21" s="734">
        <v>9</v>
      </c>
      <c r="B21" s="368">
        <v>35595</v>
      </c>
      <c r="C21" s="362" t="s">
        <v>759</v>
      </c>
      <c r="D21" s="690" t="str">
        <f t="shared" si="0"/>
        <v>Sữa Tươi TT</v>
      </c>
      <c r="E21" s="362">
        <v>532</v>
      </c>
      <c r="F21" s="690">
        <f t="shared" si="1"/>
        <v>22</v>
      </c>
      <c r="G21" s="690">
        <f t="shared" si="2"/>
        <v>4</v>
      </c>
      <c r="H21" s="690">
        <f t="shared" si="3"/>
        <v>1384800</v>
      </c>
      <c r="I21" s="690">
        <f t="shared" si="4"/>
        <v>6924</v>
      </c>
      <c r="J21" s="690">
        <f t="shared" si="5"/>
        <v>1391724</v>
      </c>
    </row>
    <row r="22" spans="1:10">
      <c r="A22" s="734">
        <v>10</v>
      </c>
      <c r="B22" s="368">
        <v>35601</v>
      </c>
      <c r="C22" s="362" t="s">
        <v>760</v>
      </c>
      <c r="D22" s="690" t="str">
        <f t="shared" si="0"/>
        <v>Sữa Chua Vải</v>
      </c>
      <c r="E22" s="362">
        <v>450</v>
      </c>
      <c r="F22" s="690">
        <f t="shared" si="1"/>
        <v>18</v>
      </c>
      <c r="G22" s="690">
        <f t="shared" si="2"/>
        <v>18</v>
      </c>
      <c r="H22" s="690">
        <f t="shared" si="3"/>
        <v>1038600</v>
      </c>
      <c r="I22" s="690">
        <f t="shared" si="4"/>
        <v>25965</v>
      </c>
      <c r="J22" s="690">
        <f t="shared" si="5"/>
        <v>1064565</v>
      </c>
    </row>
    <row r="23" spans="1:10">
      <c r="A23" s="734">
        <v>11</v>
      </c>
      <c r="B23" s="368">
        <v>35588</v>
      </c>
      <c r="C23" s="362" t="s">
        <v>751</v>
      </c>
      <c r="D23" s="690" t="str">
        <f t="shared" si="0"/>
        <v>Sữa Chua Dừa</v>
      </c>
      <c r="E23" s="362">
        <v>152</v>
      </c>
      <c r="F23" s="690">
        <f t="shared" si="1"/>
        <v>6</v>
      </c>
      <c r="G23" s="690">
        <f t="shared" si="2"/>
        <v>8</v>
      </c>
      <c r="H23" s="690">
        <f t="shared" si="3"/>
        <v>306400</v>
      </c>
      <c r="I23" s="690">
        <f t="shared" si="4"/>
        <v>6128</v>
      </c>
      <c r="J23" s="690">
        <f t="shared" si="5"/>
        <v>312528</v>
      </c>
    </row>
    <row r="24" spans="1:10">
      <c r="A24" s="734">
        <v>12</v>
      </c>
      <c r="B24" s="368">
        <v>35560</v>
      </c>
      <c r="C24" s="362" t="s">
        <v>761</v>
      </c>
      <c r="D24" s="690" t="str">
        <f t="shared" si="0"/>
        <v>Sữa Chua Dừa</v>
      </c>
      <c r="E24" s="362">
        <v>349</v>
      </c>
      <c r="F24" s="690">
        <f t="shared" si="1"/>
        <v>14</v>
      </c>
      <c r="G24" s="690">
        <f t="shared" si="2"/>
        <v>13</v>
      </c>
      <c r="H24" s="690">
        <f t="shared" si="3"/>
        <v>701900</v>
      </c>
      <c r="I24" s="690">
        <f t="shared" si="4"/>
        <v>21057</v>
      </c>
      <c r="J24" s="690">
        <f t="shared" si="5"/>
        <v>722957</v>
      </c>
    </row>
    <row r="25" spans="1:10">
      <c r="A25" s="734">
        <v>13</v>
      </c>
      <c r="B25" s="368">
        <v>35565</v>
      </c>
      <c r="C25" s="362" t="s">
        <v>753</v>
      </c>
      <c r="D25" s="690" t="str">
        <f t="shared" si="0"/>
        <v>Sữa Chua Dâu</v>
      </c>
      <c r="E25" s="362">
        <v>480</v>
      </c>
      <c r="F25" s="690">
        <f t="shared" si="1"/>
        <v>20</v>
      </c>
      <c r="G25" s="690">
        <f t="shared" si="2"/>
        <v>0</v>
      </c>
      <c r="H25" s="690">
        <f t="shared" si="3"/>
        <v>1056000</v>
      </c>
      <c r="I25" s="690">
        <f t="shared" si="4"/>
        <v>31680</v>
      </c>
      <c r="J25" s="690">
        <f t="shared" si="5"/>
        <v>1087680</v>
      </c>
    </row>
    <row r="26" spans="1:10">
      <c r="A26" s="734">
        <v>14</v>
      </c>
      <c r="B26" s="368">
        <v>35572</v>
      </c>
      <c r="C26" s="362" t="s">
        <v>762</v>
      </c>
      <c r="D26" s="690" t="str">
        <f t="shared" si="0"/>
        <v>Sữa Chua Dừa</v>
      </c>
      <c r="E26" s="362">
        <v>2154</v>
      </c>
      <c r="F26" s="690">
        <f t="shared" si="1"/>
        <v>89</v>
      </c>
      <c r="G26" s="690">
        <f t="shared" si="2"/>
        <v>18</v>
      </c>
      <c r="H26" s="690">
        <f t="shared" si="3"/>
        <v>4313400</v>
      </c>
      <c r="I26" s="690">
        <f t="shared" si="4"/>
        <v>21567</v>
      </c>
      <c r="J26" s="690">
        <f t="shared" si="5"/>
        <v>4334967</v>
      </c>
    </row>
    <row r="27" spans="1:10">
      <c r="A27" s="734">
        <v>15</v>
      </c>
      <c r="B27" s="368">
        <v>35579</v>
      </c>
      <c r="C27" s="362" t="s">
        <v>755</v>
      </c>
      <c r="D27" s="690" t="str">
        <f t="shared" si="0"/>
        <v>Sữa Chua Dừa</v>
      </c>
      <c r="E27" s="362">
        <v>1369</v>
      </c>
      <c r="F27" s="690">
        <f t="shared" si="1"/>
        <v>57</v>
      </c>
      <c r="G27" s="690">
        <f t="shared" si="2"/>
        <v>1</v>
      </c>
      <c r="H27" s="690">
        <f t="shared" si="3"/>
        <v>2738300</v>
      </c>
      <c r="I27" s="690">
        <f t="shared" si="4"/>
        <v>68457.5</v>
      </c>
      <c r="J27" s="690">
        <f t="shared" si="5"/>
        <v>2806757.5</v>
      </c>
    </row>
    <row r="28" spans="1:10">
      <c r="A28" s="734">
        <v>16</v>
      </c>
      <c r="B28" s="368">
        <v>35582</v>
      </c>
      <c r="C28" s="362" t="s">
        <v>756</v>
      </c>
      <c r="D28" s="690" t="str">
        <f t="shared" si="0"/>
        <v>Sữa Chua Vải</v>
      </c>
      <c r="E28" s="362">
        <v>1000</v>
      </c>
      <c r="F28" s="690">
        <f t="shared" si="1"/>
        <v>41</v>
      </c>
      <c r="G28" s="690">
        <f t="shared" si="2"/>
        <v>16</v>
      </c>
      <c r="H28" s="690">
        <f t="shared" si="3"/>
        <v>2303200</v>
      </c>
      <c r="I28" s="690">
        <f t="shared" si="4"/>
        <v>46064</v>
      </c>
      <c r="J28" s="690">
        <f t="shared" si="5"/>
        <v>2349264</v>
      </c>
    </row>
    <row r="29" spans="1:10">
      <c r="A29" s="734">
        <v>17</v>
      </c>
      <c r="B29" s="368">
        <v>35584</v>
      </c>
      <c r="C29" s="362" t="s">
        <v>757</v>
      </c>
      <c r="D29" s="690" t="str">
        <f t="shared" si="0"/>
        <v>Sữa Chua Dâu</v>
      </c>
      <c r="E29" s="362">
        <v>183</v>
      </c>
      <c r="F29" s="690">
        <f t="shared" si="1"/>
        <v>7</v>
      </c>
      <c r="G29" s="690">
        <f t="shared" si="2"/>
        <v>15</v>
      </c>
      <c r="H29" s="690">
        <f t="shared" si="3"/>
        <v>407100</v>
      </c>
      <c r="I29" s="690">
        <f t="shared" si="4"/>
        <v>8142</v>
      </c>
      <c r="J29" s="690">
        <f t="shared" si="5"/>
        <v>415242</v>
      </c>
    </row>
    <row r="30" spans="1:10">
      <c r="A30" s="734">
        <v>18</v>
      </c>
      <c r="B30" s="368">
        <v>35590</v>
      </c>
      <c r="C30" s="362" t="s">
        <v>758</v>
      </c>
      <c r="D30" s="690" t="str">
        <f t="shared" si="0"/>
        <v>Sữa Tươi TT</v>
      </c>
      <c r="E30" s="362">
        <v>1283</v>
      </c>
      <c r="F30" s="690">
        <f t="shared" si="1"/>
        <v>53</v>
      </c>
      <c r="G30" s="690">
        <f t="shared" si="2"/>
        <v>11</v>
      </c>
      <c r="H30" s="690">
        <f t="shared" si="3"/>
        <v>3340200</v>
      </c>
      <c r="I30" s="690">
        <f t="shared" si="4"/>
        <v>83505</v>
      </c>
      <c r="J30" s="690">
        <f t="shared" si="5"/>
        <v>3423705</v>
      </c>
    </row>
    <row r="31" spans="1:10">
      <c r="A31" s="734">
        <v>19</v>
      </c>
      <c r="B31" s="368">
        <v>35595</v>
      </c>
      <c r="C31" s="362" t="s">
        <v>759</v>
      </c>
      <c r="D31" s="690" t="str">
        <f t="shared" si="0"/>
        <v>Sữa Tươi TT</v>
      </c>
      <c r="E31" s="362">
        <v>556</v>
      </c>
      <c r="F31" s="690">
        <f t="shared" si="1"/>
        <v>23</v>
      </c>
      <c r="G31" s="690">
        <f t="shared" si="2"/>
        <v>4</v>
      </c>
      <c r="H31" s="690">
        <f t="shared" si="3"/>
        <v>1447200</v>
      </c>
      <c r="I31" s="690">
        <f t="shared" si="4"/>
        <v>7236</v>
      </c>
      <c r="J31" s="690">
        <f t="shared" si="5"/>
        <v>1454436</v>
      </c>
    </row>
    <row r="32" spans="1:10">
      <c r="A32" s="734">
        <v>20</v>
      </c>
      <c r="B32" s="368">
        <v>35601</v>
      </c>
      <c r="C32" s="362" t="s">
        <v>760</v>
      </c>
      <c r="D32" s="690" t="str">
        <f t="shared" si="0"/>
        <v>Sữa Chua Vải</v>
      </c>
      <c r="E32" s="362">
        <v>474</v>
      </c>
      <c r="F32" s="690">
        <f t="shared" si="1"/>
        <v>19</v>
      </c>
      <c r="G32" s="690">
        <f t="shared" si="2"/>
        <v>18</v>
      </c>
      <c r="H32" s="690">
        <f t="shared" si="3"/>
        <v>1093800</v>
      </c>
      <c r="I32" s="690">
        <f t="shared" si="4"/>
        <v>27345</v>
      </c>
      <c r="J32" s="690">
        <f t="shared" si="5"/>
        <v>1121145</v>
      </c>
    </row>
  </sheetData>
  <mergeCells count="3">
    <mergeCell ref="A2:D2"/>
    <mergeCell ref="F2:G2"/>
    <mergeCell ref="D10:G10"/>
  </mergeCells>
  <phoneticPr fontId="141" type="noConversion"/>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6A121-7957-4FEC-995D-1AE769897FDB}">
  <sheetPr>
    <tabColor rgb="FF0000FF"/>
  </sheetPr>
  <dimension ref="A2:N33"/>
  <sheetViews>
    <sheetView workbookViewId="0">
      <selection activeCell="N3" sqref="N3"/>
    </sheetView>
  </sheetViews>
  <sheetFormatPr defaultRowHeight="15"/>
  <cols>
    <col min="1" max="1" width="9.140625" style="10"/>
    <col min="2" max="2" width="16" style="10" customWidth="1"/>
    <col min="3" max="3" width="9.140625" style="10"/>
    <col min="4" max="4" width="13.28515625" style="10" customWidth="1"/>
    <col min="5" max="6" width="9.140625" style="10"/>
    <col min="7" max="7" width="6.42578125" style="10" customWidth="1"/>
    <col min="8" max="8" width="9.42578125" style="10" customWidth="1"/>
    <col min="9" max="9" width="16" style="10" customWidth="1"/>
    <col min="10" max="10" width="10.5703125" style="10" customWidth="1"/>
    <col min="11" max="11" width="11.5703125" style="10" customWidth="1"/>
    <col min="12" max="16384" width="9.140625" style="10"/>
  </cols>
  <sheetData>
    <row r="2" spans="1:14">
      <c r="A2" s="10" t="s">
        <v>712</v>
      </c>
      <c r="F2" s="10" t="s">
        <v>713</v>
      </c>
    </row>
    <row r="3" spans="1:14" ht="60">
      <c r="A3" s="369" t="s">
        <v>714</v>
      </c>
      <c r="B3" s="369" t="s">
        <v>715</v>
      </c>
      <c r="C3" s="369" t="s">
        <v>716</v>
      </c>
      <c r="D3" s="369" t="s">
        <v>717</v>
      </c>
      <c r="F3" s="370" t="s">
        <v>388</v>
      </c>
      <c r="G3" s="370" t="s">
        <v>718</v>
      </c>
      <c r="I3" s="371" t="s">
        <v>715</v>
      </c>
      <c r="J3" s="371" t="s">
        <v>719</v>
      </c>
      <c r="K3" s="371" t="s">
        <v>335</v>
      </c>
      <c r="N3" s="10" t="s">
        <v>1991</v>
      </c>
    </row>
    <row r="4" spans="1:14">
      <c r="A4" s="371" t="s">
        <v>721</v>
      </c>
      <c r="B4" s="371" t="s">
        <v>722</v>
      </c>
      <c r="C4" s="371">
        <v>2000</v>
      </c>
      <c r="D4" s="371">
        <v>2300</v>
      </c>
      <c r="F4" s="371" t="s">
        <v>1139</v>
      </c>
      <c r="G4" s="372">
        <v>0.02</v>
      </c>
      <c r="I4" s="371" t="s">
        <v>722</v>
      </c>
      <c r="J4" s="371">
        <f>SUMIF($D$13:$D$32,I4,$H$13:$H$32)</f>
        <v>15274100</v>
      </c>
      <c r="K4" s="371">
        <f>SUMIF($D$13:$D$32,I4,$J$13:$J$32)</f>
        <v>15485062</v>
      </c>
    </row>
    <row r="5" spans="1:14">
      <c r="A5" s="371" t="s">
        <v>724</v>
      </c>
      <c r="B5" s="371" t="s">
        <v>725</v>
      </c>
      <c r="C5" s="371">
        <v>2400</v>
      </c>
      <c r="D5" s="371">
        <v>2700</v>
      </c>
      <c r="F5" s="371" t="s">
        <v>1140</v>
      </c>
      <c r="G5" s="372">
        <v>5.0000000000000001E-3</v>
      </c>
      <c r="I5" s="371" t="s">
        <v>725</v>
      </c>
      <c r="J5" s="371">
        <f>SUMIF($D$13:$D$32,I5,$H$13:$H$32)</f>
        <v>783900</v>
      </c>
      <c r="K5" s="371">
        <f>SUMIF($D$13:$D$32,I5,$J$13:$J$32)</f>
        <v>807417</v>
      </c>
    </row>
    <row r="6" spans="1:14">
      <c r="A6" s="371" t="s">
        <v>727</v>
      </c>
      <c r="B6" s="371" t="s">
        <v>728</v>
      </c>
      <c r="C6" s="371">
        <v>2200</v>
      </c>
      <c r="D6" s="371">
        <v>2500</v>
      </c>
      <c r="F6" s="371" t="s">
        <v>1141</v>
      </c>
      <c r="G6" s="372">
        <v>0.01</v>
      </c>
      <c r="I6" s="371" t="s">
        <v>728</v>
      </c>
      <c r="J6" s="371">
        <f>SUMIF($D$13:$D$32,I6,$H$13:$H$32)</f>
        <v>2820600</v>
      </c>
      <c r="K6" s="371">
        <f>SUMIF($D$13:$D$32,I6,$J$13:$J$32)</f>
        <v>2897604</v>
      </c>
    </row>
    <row r="7" spans="1:14">
      <c r="A7" s="371" t="s">
        <v>730</v>
      </c>
      <c r="B7" s="371" t="s">
        <v>731</v>
      </c>
      <c r="C7" s="371">
        <v>2600</v>
      </c>
      <c r="D7" s="371">
        <v>3000</v>
      </c>
      <c r="F7" s="371" t="s">
        <v>1218</v>
      </c>
      <c r="G7" s="372">
        <v>0.03</v>
      </c>
      <c r="I7" s="371" t="s">
        <v>731</v>
      </c>
      <c r="J7" s="371">
        <f>SUMIF($D$13:$D$32,I7,$H$13:$H$32)</f>
        <v>9450000</v>
      </c>
      <c r="K7" s="371">
        <f>SUMIF($D$13:$D$32,I7,$J$13:$J$32)</f>
        <v>9629610</v>
      </c>
    </row>
    <row r="8" spans="1:14">
      <c r="A8" s="371" t="s">
        <v>733</v>
      </c>
      <c r="B8" s="371" t="s">
        <v>734</v>
      </c>
      <c r="C8" s="371">
        <v>2300</v>
      </c>
      <c r="D8" s="371">
        <v>2500</v>
      </c>
      <c r="F8" s="371" t="s">
        <v>735</v>
      </c>
      <c r="G8" s="372">
        <v>2.5000000000000001E-2</v>
      </c>
      <c r="I8" s="371" t="s">
        <v>734</v>
      </c>
      <c r="J8" s="371">
        <f>SUMIF($D$13:$D$32,I8,$H$13:$H$32)</f>
        <v>6683600</v>
      </c>
      <c r="K8" s="371">
        <f>SUMIF($D$13:$D$32,I8,$J$13:$J$32)</f>
        <v>6827934</v>
      </c>
    </row>
    <row r="10" spans="1:14">
      <c r="A10" s="10" t="s">
        <v>738</v>
      </c>
      <c r="E10" s="10" t="s">
        <v>739</v>
      </c>
    </row>
    <row r="11" spans="1:14">
      <c r="F11" s="10" t="s">
        <v>741</v>
      </c>
    </row>
    <row r="12" spans="1:14" ht="30">
      <c r="A12" s="370" t="s">
        <v>1073</v>
      </c>
      <c r="B12" s="370" t="s">
        <v>743</v>
      </c>
      <c r="C12" s="370" t="s">
        <v>744</v>
      </c>
      <c r="D12" s="370" t="s">
        <v>715</v>
      </c>
      <c r="E12" s="370" t="s">
        <v>745</v>
      </c>
      <c r="F12" s="370" t="s">
        <v>763</v>
      </c>
      <c r="G12" s="370" t="s">
        <v>747</v>
      </c>
      <c r="H12" s="370" t="s">
        <v>748</v>
      </c>
      <c r="I12" s="370" t="s">
        <v>749</v>
      </c>
      <c r="J12" s="370" t="s">
        <v>335</v>
      </c>
    </row>
    <row r="13" spans="1:14">
      <c r="A13" s="371">
        <v>1</v>
      </c>
      <c r="B13" s="373">
        <v>35557</v>
      </c>
      <c r="C13" s="371" t="s">
        <v>751</v>
      </c>
      <c r="D13" s="371" t="str">
        <f>VLOOKUP(LEFT(C13,2),$A$4:$B$8,2,0)</f>
        <v>Sữa Chua Dừa</v>
      </c>
      <c r="E13" s="371">
        <v>128</v>
      </c>
      <c r="F13" s="371">
        <f>INT(E13/24)</f>
        <v>5</v>
      </c>
      <c r="G13" s="371">
        <f>MOD(E13,24)</f>
        <v>8</v>
      </c>
      <c r="H13" s="371">
        <f>F13*24*VLOOKUP(LEFT(C13,2),$A$4:$D$8,3,0)+G13*VLOOKUP(LEFT(C13,2),$A$4:$D$8,4,0)</f>
        <v>258400</v>
      </c>
      <c r="I13" s="371">
        <f>VLOOKUP(RIGHT(C13),$F$4:$G$8,2,0)*H13</f>
        <v>5168</v>
      </c>
      <c r="J13" s="371">
        <f>H13+I13</f>
        <v>263568</v>
      </c>
    </row>
    <row r="14" spans="1:14">
      <c r="A14" s="371">
        <v>2</v>
      </c>
      <c r="B14" s="373">
        <v>35560</v>
      </c>
      <c r="C14" s="371" t="s">
        <v>752</v>
      </c>
      <c r="D14" s="371" t="str">
        <f t="shared" ref="D14:D32" si="0">VLOOKUP(LEFT(C14,2),$A$4:$B$8,2,0)</f>
        <v>Sữa Chua Chanh</v>
      </c>
      <c r="E14" s="371">
        <v>325</v>
      </c>
      <c r="F14" s="371">
        <f t="shared" ref="F14:F32" si="1">INT(E14/24)</f>
        <v>13</v>
      </c>
      <c r="G14" s="371">
        <f t="shared" ref="G14:G32" si="2">MOD(E14,24)</f>
        <v>13</v>
      </c>
      <c r="H14" s="371">
        <f t="shared" ref="H14:H32" si="3">F14*24*VLOOKUP(LEFT(C14,2),$A$4:$D$8,3,0)+G14*VLOOKUP(LEFT(C14,2),$A$4:$D$8,4,0)</f>
        <v>783900</v>
      </c>
      <c r="I14" s="371">
        <f t="shared" ref="I14:I32" si="4">VLOOKUP(RIGHT(C14),$F$4:$G$8,2,0)*H14</f>
        <v>23517</v>
      </c>
      <c r="J14" s="371">
        <f t="shared" ref="J14:J32" si="5">H14+I14</f>
        <v>807417</v>
      </c>
    </row>
    <row r="15" spans="1:14">
      <c r="A15" s="371">
        <v>3</v>
      </c>
      <c r="B15" s="373">
        <v>35565</v>
      </c>
      <c r="C15" s="371" t="s">
        <v>753</v>
      </c>
      <c r="D15" s="371" t="str">
        <f t="shared" si="0"/>
        <v>Sữa Chua Dâu</v>
      </c>
      <c r="E15" s="371">
        <v>456</v>
      </c>
      <c r="F15" s="371">
        <f t="shared" si="1"/>
        <v>19</v>
      </c>
      <c r="G15" s="371">
        <f t="shared" si="2"/>
        <v>0</v>
      </c>
      <c r="H15" s="371">
        <f t="shared" si="3"/>
        <v>1003200</v>
      </c>
      <c r="I15" s="371">
        <f t="shared" si="4"/>
        <v>30096</v>
      </c>
      <c r="J15" s="371">
        <f t="shared" si="5"/>
        <v>1033296</v>
      </c>
    </row>
    <row r="16" spans="1:14">
      <c r="A16" s="371">
        <v>4</v>
      </c>
      <c r="B16" s="373">
        <v>35572</v>
      </c>
      <c r="C16" s="371" t="s">
        <v>754</v>
      </c>
      <c r="D16" s="371" t="str">
        <f t="shared" si="0"/>
        <v>Sữa Chua Dừa</v>
      </c>
      <c r="E16" s="371">
        <v>2130</v>
      </c>
      <c r="F16" s="371">
        <f t="shared" si="1"/>
        <v>88</v>
      </c>
      <c r="G16" s="371">
        <f t="shared" si="2"/>
        <v>18</v>
      </c>
      <c r="H16" s="371">
        <f t="shared" si="3"/>
        <v>4265400</v>
      </c>
      <c r="I16" s="371">
        <f t="shared" si="4"/>
        <v>21327</v>
      </c>
      <c r="J16" s="371">
        <f t="shared" si="5"/>
        <v>4286727</v>
      </c>
    </row>
    <row r="17" spans="1:10">
      <c r="A17" s="371">
        <v>5</v>
      </c>
      <c r="B17" s="373">
        <v>35579</v>
      </c>
      <c r="C17" s="371" t="s">
        <v>755</v>
      </c>
      <c r="D17" s="371" t="str">
        <f t="shared" si="0"/>
        <v>Sữa Chua Dừa</v>
      </c>
      <c r="E17" s="371">
        <v>1345</v>
      </c>
      <c r="F17" s="371">
        <f t="shared" si="1"/>
        <v>56</v>
      </c>
      <c r="G17" s="371">
        <f t="shared" si="2"/>
        <v>1</v>
      </c>
      <c r="H17" s="371">
        <f t="shared" si="3"/>
        <v>2690300</v>
      </c>
      <c r="I17" s="371">
        <f t="shared" si="4"/>
        <v>67257.5</v>
      </c>
      <c r="J17" s="371">
        <f t="shared" si="5"/>
        <v>2757557.5</v>
      </c>
    </row>
    <row r="18" spans="1:10">
      <c r="A18" s="371">
        <v>6</v>
      </c>
      <c r="B18" s="373">
        <v>35582</v>
      </c>
      <c r="C18" s="371" t="s">
        <v>756</v>
      </c>
      <c r="D18" s="371" t="str">
        <f t="shared" si="0"/>
        <v>Sữa Chua Vải</v>
      </c>
      <c r="E18" s="371">
        <v>976</v>
      </c>
      <c r="F18" s="371">
        <f t="shared" si="1"/>
        <v>40</v>
      </c>
      <c r="G18" s="371">
        <f t="shared" si="2"/>
        <v>16</v>
      </c>
      <c r="H18" s="371">
        <f t="shared" si="3"/>
        <v>2248000</v>
      </c>
      <c r="I18" s="371">
        <f t="shared" si="4"/>
        <v>44960</v>
      </c>
      <c r="J18" s="371">
        <f t="shared" si="5"/>
        <v>2292960</v>
      </c>
    </row>
    <row r="19" spans="1:10">
      <c r="A19" s="371">
        <v>7</v>
      </c>
      <c r="B19" s="373">
        <v>35584</v>
      </c>
      <c r="C19" s="371" t="s">
        <v>757</v>
      </c>
      <c r="D19" s="371" t="str">
        <f t="shared" si="0"/>
        <v>Sữa Chua Dâu</v>
      </c>
      <c r="E19" s="371">
        <v>159</v>
      </c>
      <c r="F19" s="371">
        <f t="shared" si="1"/>
        <v>6</v>
      </c>
      <c r="G19" s="371">
        <f t="shared" si="2"/>
        <v>15</v>
      </c>
      <c r="H19" s="371">
        <f t="shared" si="3"/>
        <v>354300</v>
      </c>
      <c r="I19" s="371">
        <f t="shared" si="4"/>
        <v>7086</v>
      </c>
      <c r="J19" s="371">
        <f t="shared" si="5"/>
        <v>361386</v>
      </c>
    </row>
    <row r="20" spans="1:10">
      <c r="A20" s="371">
        <v>8</v>
      </c>
      <c r="B20" s="373">
        <v>35590</v>
      </c>
      <c r="C20" s="371" t="s">
        <v>758</v>
      </c>
      <c r="D20" s="371" t="str">
        <f t="shared" si="0"/>
        <v>Sữa Tươi TT</v>
      </c>
      <c r="E20" s="371">
        <v>1259</v>
      </c>
      <c r="F20" s="371">
        <f t="shared" si="1"/>
        <v>52</v>
      </c>
      <c r="G20" s="371">
        <f t="shared" si="2"/>
        <v>11</v>
      </c>
      <c r="H20" s="371">
        <f t="shared" si="3"/>
        <v>3277800</v>
      </c>
      <c r="I20" s="371">
        <f t="shared" si="4"/>
        <v>81945</v>
      </c>
      <c r="J20" s="371">
        <f t="shared" si="5"/>
        <v>3359745</v>
      </c>
    </row>
    <row r="21" spans="1:10">
      <c r="A21" s="371">
        <v>9</v>
      </c>
      <c r="B21" s="373">
        <v>35595</v>
      </c>
      <c r="C21" s="371" t="s">
        <v>759</v>
      </c>
      <c r="D21" s="371" t="str">
        <f t="shared" si="0"/>
        <v>Sữa Tươi TT</v>
      </c>
      <c r="E21" s="371">
        <v>532</v>
      </c>
      <c r="F21" s="371">
        <f t="shared" si="1"/>
        <v>22</v>
      </c>
      <c r="G21" s="371">
        <f t="shared" si="2"/>
        <v>4</v>
      </c>
      <c r="H21" s="371">
        <f t="shared" si="3"/>
        <v>1384800</v>
      </c>
      <c r="I21" s="371">
        <f t="shared" si="4"/>
        <v>6924</v>
      </c>
      <c r="J21" s="371">
        <f t="shared" si="5"/>
        <v>1391724</v>
      </c>
    </row>
    <row r="22" spans="1:10">
      <c r="A22" s="371">
        <v>10</v>
      </c>
      <c r="B22" s="373">
        <v>35601</v>
      </c>
      <c r="C22" s="371" t="s">
        <v>760</v>
      </c>
      <c r="D22" s="371" t="str">
        <f t="shared" si="0"/>
        <v>Sữa Chua Vải</v>
      </c>
      <c r="E22" s="371">
        <v>450</v>
      </c>
      <c r="F22" s="371">
        <f t="shared" si="1"/>
        <v>18</v>
      </c>
      <c r="G22" s="371">
        <f t="shared" si="2"/>
        <v>18</v>
      </c>
      <c r="H22" s="371">
        <f t="shared" si="3"/>
        <v>1038600</v>
      </c>
      <c r="I22" s="371">
        <f t="shared" si="4"/>
        <v>25965</v>
      </c>
      <c r="J22" s="371">
        <f t="shared" si="5"/>
        <v>1064565</v>
      </c>
    </row>
    <row r="23" spans="1:10">
      <c r="A23" s="371">
        <v>11</v>
      </c>
      <c r="B23" s="373">
        <v>35588</v>
      </c>
      <c r="C23" s="371" t="s">
        <v>751</v>
      </c>
      <c r="D23" s="371" t="str">
        <f t="shared" si="0"/>
        <v>Sữa Chua Dừa</v>
      </c>
      <c r="E23" s="371">
        <v>152</v>
      </c>
      <c r="F23" s="371">
        <f t="shared" si="1"/>
        <v>6</v>
      </c>
      <c r="G23" s="371">
        <f t="shared" si="2"/>
        <v>8</v>
      </c>
      <c r="H23" s="371">
        <f t="shared" si="3"/>
        <v>306400</v>
      </c>
      <c r="I23" s="371">
        <f t="shared" si="4"/>
        <v>6128</v>
      </c>
      <c r="J23" s="371">
        <f t="shared" si="5"/>
        <v>312528</v>
      </c>
    </row>
    <row r="24" spans="1:10">
      <c r="A24" s="371">
        <v>12</v>
      </c>
      <c r="B24" s="373">
        <v>35560</v>
      </c>
      <c r="C24" s="371" t="s">
        <v>761</v>
      </c>
      <c r="D24" s="371" t="str">
        <f t="shared" si="0"/>
        <v>Sữa Chua Dừa</v>
      </c>
      <c r="E24" s="371">
        <v>349</v>
      </c>
      <c r="F24" s="371">
        <f t="shared" si="1"/>
        <v>14</v>
      </c>
      <c r="G24" s="371">
        <f t="shared" si="2"/>
        <v>13</v>
      </c>
      <c r="H24" s="371">
        <f t="shared" si="3"/>
        <v>701900</v>
      </c>
      <c r="I24" s="371">
        <f t="shared" si="4"/>
        <v>21057</v>
      </c>
      <c r="J24" s="371">
        <f t="shared" si="5"/>
        <v>722957</v>
      </c>
    </row>
    <row r="25" spans="1:10">
      <c r="A25" s="371">
        <v>13</v>
      </c>
      <c r="B25" s="373">
        <v>35565</v>
      </c>
      <c r="C25" s="371" t="s">
        <v>753</v>
      </c>
      <c r="D25" s="371" t="str">
        <f t="shared" si="0"/>
        <v>Sữa Chua Dâu</v>
      </c>
      <c r="E25" s="371">
        <v>480</v>
      </c>
      <c r="F25" s="371">
        <f t="shared" si="1"/>
        <v>20</v>
      </c>
      <c r="G25" s="371">
        <f t="shared" si="2"/>
        <v>0</v>
      </c>
      <c r="H25" s="371">
        <f t="shared" si="3"/>
        <v>1056000</v>
      </c>
      <c r="I25" s="371">
        <f t="shared" si="4"/>
        <v>31680</v>
      </c>
      <c r="J25" s="371">
        <f t="shared" si="5"/>
        <v>1087680</v>
      </c>
    </row>
    <row r="26" spans="1:10">
      <c r="A26" s="371">
        <v>14</v>
      </c>
      <c r="B26" s="373">
        <v>35572</v>
      </c>
      <c r="C26" s="371" t="s">
        <v>762</v>
      </c>
      <c r="D26" s="371" t="str">
        <f t="shared" si="0"/>
        <v>Sữa Chua Dừa</v>
      </c>
      <c r="E26" s="371">
        <v>2154</v>
      </c>
      <c r="F26" s="371">
        <f t="shared" si="1"/>
        <v>89</v>
      </c>
      <c r="G26" s="371">
        <f t="shared" si="2"/>
        <v>18</v>
      </c>
      <c r="H26" s="371">
        <f t="shared" si="3"/>
        <v>4313400</v>
      </c>
      <c r="I26" s="371">
        <f t="shared" si="4"/>
        <v>21567</v>
      </c>
      <c r="J26" s="371">
        <f t="shared" si="5"/>
        <v>4334967</v>
      </c>
    </row>
    <row r="27" spans="1:10">
      <c r="A27" s="371">
        <v>15</v>
      </c>
      <c r="B27" s="373">
        <v>35579</v>
      </c>
      <c r="C27" s="371" t="s">
        <v>755</v>
      </c>
      <c r="D27" s="371" t="str">
        <f t="shared" si="0"/>
        <v>Sữa Chua Dừa</v>
      </c>
      <c r="E27" s="371">
        <v>1369</v>
      </c>
      <c r="F27" s="371">
        <f t="shared" si="1"/>
        <v>57</v>
      </c>
      <c r="G27" s="371">
        <f t="shared" si="2"/>
        <v>1</v>
      </c>
      <c r="H27" s="371">
        <f t="shared" si="3"/>
        <v>2738300</v>
      </c>
      <c r="I27" s="371">
        <f t="shared" si="4"/>
        <v>68457.5</v>
      </c>
      <c r="J27" s="371">
        <f t="shared" si="5"/>
        <v>2806757.5</v>
      </c>
    </row>
    <row r="28" spans="1:10">
      <c r="A28" s="371">
        <v>16</v>
      </c>
      <c r="B28" s="373">
        <v>35582</v>
      </c>
      <c r="C28" s="371" t="s">
        <v>756</v>
      </c>
      <c r="D28" s="371" t="str">
        <f t="shared" si="0"/>
        <v>Sữa Chua Vải</v>
      </c>
      <c r="E28" s="371">
        <v>1000</v>
      </c>
      <c r="F28" s="371">
        <f t="shared" si="1"/>
        <v>41</v>
      </c>
      <c r="G28" s="371">
        <f t="shared" si="2"/>
        <v>16</v>
      </c>
      <c r="H28" s="371">
        <f t="shared" si="3"/>
        <v>2303200</v>
      </c>
      <c r="I28" s="371">
        <f t="shared" si="4"/>
        <v>46064</v>
      </c>
      <c r="J28" s="371">
        <f t="shared" si="5"/>
        <v>2349264</v>
      </c>
    </row>
    <row r="29" spans="1:10">
      <c r="A29" s="371">
        <v>17</v>
      </c>
      <c r="B29" s="373">
        <v>35584</v>
      </c>
      <c r="C29" s="371" t="s">
        <v>757</v>
      </c>
      <c r="D29" s="371" t="str">
        <f t="shared" si="0"/>
        <v>Sữa Chua Dâu</v>
      </c>
      <c r="E29" s="371">
        <v>183</v>
      </c>
      <c r="F29" s="371">
        <f t="shared" si="1"/>
        <v>7</v>
      </c>
      <c r="G29" s="371">
        <f t="shared" si="2"/>
        <v>15</v>
      </c>
      <c r="H29" s="371">
        <f t="shared" si="3"/>
        <v>407100</v>
      </c>
      <c r="I29" s="371">
        <f t="shared" si="4"/>
        <v>8142</v>
      </c>
      <c r="J29" s="371">
        <f t="shared" si="5"/>
        <v>415242</v>
      </c>
    </row>
    <row r="30" spans="1:10">
      <c r="A30" s="371">
        <v>18</v>
      </c>
      <c r="B30" s="373">
        <v>35590</v>
      </c>
      <c r="C30" s="371" t="s">
        <v>758</v>
      </c>
      <c r="D30" s="371" t="str">
        <f t="shared" si="0"/>
        <v>Sữa Tươi TT</v>
      </c>
      <c r="E30" s="371">
        <v>1283</v>
      </c>
      <c r="F30" s="371">
        <f t="shared" si="1"/>
        <v>53</v>
      </c>
      <c r="G30" s="371">
        <f t="shared" si="2"/>
        <v>11</v>
      </c>
      <c r="H30" s="371">
        <f t="shared" si="3"/>
        <v>3340200</v>
      </c>
      <c r="I30" s="371">
        <f t="shared" si="4"/>
        <v>83505</v>
      </c>
      <c r="J30" s="371">
        <f t="shared" si="5"/>
        <v>3423705</v>
      </c>
    </row>
    <row r="31" spans="1:10">
      <c r="A31" s="371">
        <v>19</v>
      </c>
      <c r="B31" s="373">
        <v>35595</v>
      </c>
      <c r="C31" s="371" t="s">
        <v>759</v>
      </c>
      <c r="D31" s="371" t="str">
        <f t="shared" si="0"/>
        <v>Sữa Tươi TT</v>
      </c>
      <c r="E31" s="371">
        <v>556</v>
      </c>
      <c r="F31" s="371">
        <f t="shared" si="1"/>
        <v>23</v>
      </c>
      <c r="G31" s="371">
        <f t="shared" si="2"/>
        <v>4</v>
      </c>
      <c r="H31" s="371">
        <f t="shared" si="3"/>
        <v>1447200</v>
      </c>
      <c r="I31" s="371">
        <f t="shared" si="4"/>
        <v>7236</v>
      </c>
      <c r="J31" s="371">
        <f t="shared" si="5"/>
        <v>1454436</v>
      </c>
    </row>
    <row r="32" spans="1:10">
      <c r="A32" s="371">
        <v>20</v>
      </c>
      <c r="B32" s="373">
        <v>35601</v>
      </c>
      <c r="C32" s="371" t="s">
        <v>760</v>
      </c>
      <c r="D32" s="371" t="str">
        <f t="shared" si="0"/>
        <v>Sữa Chua Vải</v>
      </c>
      <c r="E32" s="371">
        <v>474</v>
      </c>
      <c r="F32" s="371">
        <f t="shared" si="1"/>
        <v>19</v>
      </c>
      <c r="G32" s="371">
        <f t="shared" si="2"/>
        <v>18</v>
      </c>
      <c r="H32" s="371">
        <f t="shared" si="3"/>
        <v>1093800</v>
      </c>
      <c r="I32" s="371">
        <f t="shared" si="4"/>
        <v>27345</v>
      </c>
      <c r="J32" s="371">
        <f t="shared" si="5"/>
        <v>1121145</v>
      </c>
    </row>
    <row r="33" spans="4:6">
      <c r="D33" s="10" t="s">
        <v>377</v>
      </c>
      <c r="F33" s="10">
        <f>SUM(F13:F32)</f>
        <v>648</v>
      </c>
    </row>
  </sheetData>
  <phoneticPr fontId="141" type="noConversion"/>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3E97-A8B1-4544-848A-E3041DA3F0AA}">
  <sheetPr>
    <tabColor rgb="FFFF0000"/>
  </sheetPr>
  <dimension ref="A1:U41"/>
  <sheetViews>
    <sheetView workbookViewId="0">
      <selection activeCell="U1" sqref="U1"/>
    </sheetView>
  </sheetViews>
  <sheetFormatPr defaultRowHeight="15.75"/>
  <cols>
    <col min="1" max="1" width="9.140625" style="145"/>
    <col min="2" max="2" width="6.7109375" style="145" customWidth="1"/>
    <col min="3" max="3" width="8.28515625" style="145" customWidth="1"/>
    <col min="4" max="4" width="5.85546875" style="145" customWidth="1"/>
    <col min="5" max="5" width="3.5703125" style="145" customWidth="1"/>
    <col min="6" max="6" width="5" style="145" customWidth="1"/>
    <col min="7" max="7" width="4.85546875" style="145" customWidth="1"/>
    <col min="8" max="8" width="3.7109375" style="145" customWidth="1"/>
    <col min="9" max="9" width="4.42578125" style="145" customWidth="1"/>
    <col min="10" max="10" width="4.85546875" style="145" customWidth="1"/>
    <col min="11" max="11" width="5.7109375" style="145" customWidth="1"/>
    <col min="12" max="12" width="6.7109375" style="145" customWidth="1"/>
    <col min="13" max="13" width="5.140625" style="145" customWidth="1"/>
    <col min="14" max="14" width="5.7109375" style="145" customWidth="1"/>
    <col min="15" max="15" width="9.42578125" style="145" customWidth="1"/>
    <col min="16" max="16" width="9.85546875" style="145" customWidth="1"/>
    <col min="17" max="17" width="6.140625" style="145" customWidth="1"/>
    <col min="18" max="18" width="7.85546875" style="145" customWidth="1"/>
    <col min="19" max="19" width="8.5703125" style="145" customWidth="1"/>
    <col min="20" max="20" width="12.140625" style="145" customWidth="1"/>
    <col min="21" max="16384" width="9.140625" style="145"/>
  </cols>
  <sheetData>
    <row r="1" spans="1:21">
      <c r="A1" s="374" t="s">
        <v>764</v>
      </c>
      <c r="U1" s="886" t="s">
        <v>1991</v>
      </c>
    </row>
    <row r="2" spans="1:21">
      <c r="B2" s="1160" t="s">
        <v>765</v>
      </c>
      <c r="C2" s="1160"/>
      <c r="D2" s="1160"/>
      <c r="E2" s="1160"/>
      <c r="F2" s="1160"/>
      <c r="G2" s="1160"/>
      <c r="H2" s="1160"/>
      <c r="I2" s="1160"/>
      <c r="J2" s="1160"/>
      <c r="K2" s="1160"/>
      <c r="L2" s="1160"/>
      <c r="M2" s="1160"/>
      <c r="N2" s="1160"/>
      <c r="O2" s="1160"/>
      <c r="P2" s="1160"/>
      <c r="Q2" s="1160"/>
      <c r="R2" s="1160"/>
      <c r="S2" s="1160"/>
      <c r="T2" s="1160"/>
    </row>
    <row r="3" spans="1:21">
      <c r="B3" s="1157" t="s">
        <v>766</v>
      </c>
      <c r="C3" s="1157" t="s">
        <v>767</v>
      </c>
      <c r="D3" s="1161" t="s">
        <v>768</v>
      </c>
      <c r="E3" s="1161"/>
      <c r="F3" s="1161"/>
      <c r="G3" s="1161"/>
      <c r="H3" s="1161"/>
      <c r="I3" s="1161"/>
      <c r="J3" s="1161"/>
      <c r="K3" s="1161"/>
      <c r="L3" s="1161"/>
      <c r="M3" s="1161"/>
      <c r="N3" s="1161" t="s">
        <v>1080</v>
      </c>
      <c r="O3" s="1157" t="s">
        <v>769</v>
      </c>
      <c r="P3" s="1157" t="s">
        <v>770</v>
      </c>
      <c r="Q3" s="1157" t="s">
        <v>556</v>
      </c>
      <c r="R3" s="1157" t="s">
        <v>771</v>
      </c>
      <c r="S3" s="1158" t="s">
        <v>1576</v>
      </c>
      <c r="T3" s="1157" t="s">
        <v>365</v>
      </c>
    </row>
    <row r="4" spans="1:21">
      <c r="B4" s="1157"/>
      <c r="C4" s="1157"/>
      <c r="D4" s="764" t="s">
        <v>1292</v>
      </c>
      <c r="E4" s="764" t="s">
        <v>1144</v>
      </c>
      <c r="F4" s="764" t="s">
        <v>449</v>
      </c>
      <c r="G4" s="764" t="s">
        <v>555</v>
      </c>
      <c r="H4" s="764" t="s">
        <v>451</v>
      </c>
      <c r="I4" s="764" t="s">
        <v>452</v>
      </c>
      <c r="J4" s="764" t="s">
        <v>1929</v>
      </c>
      <c r="K4" s="764" t="s">
        <v>1930</v>
      </c>
      <c r="L4" s="764" t="s">
        <v>1295</v>
      </c>
      <c r="M4" s="764" t="s">
        <v>450</v>
      </c>
      <c r="N4" s="1161"/>
      <c r="O4" s="1157"/>
      <c r="P4" s="1157"/>
      <c r="Q4" s="1157"/>
      <c r="R4" s="1157"/>
      <c r="S4" s="1159"/>
      <c r="T4" s="1157"/>
    </row>
    <row r="5" spans="1:21">
      <c r="B5" s="375" t="s">
        <v>455</v>
      </c>
      <c r="C5" s="376" t="s">
        <v>1929</v>
      </c>
      <c r="D5" s="377">
        <v>10</v>
      </c>
      <c r="E5" s="377">
        <v>8</v>
      </c>
      <c r="F5" s="377">
        <v>9</v>
      </c>
      <c r="G5" s="377">
        <v>9</v>
      </c>
      <c r="H5" s="377">
        <v>9</v>
      </c>
      <c r="I5" s="377">
        <v>10</v>
      </c>
      <c r="J5" s="377">
        <v>10</v>
      </c>
      <c r="K5" s="377">
        <v>9</v>
      </c>
      <c r="L5" s="377">
        <v>10</v>
      </c>
      <c r="M5" s="377">
        <v>10</v>
      </c>
      <c r="N5" s="765">
        <f>(SUMIF($D$4:$M$4,C5,D5:M5)+SUM(D5:M5))/11</f>
        <v>9.454545454545455</v>
      </c>
      <c r="O5" s="150" t="str">
        <f t="shared" ref="O5:O17" si="0">IF(MIN(D5:M5)&gt;=5,"ĐẠT",IF(OR(SUMIF($D$4:$M$4,C5,D5:M5)&lt;5,COUNT(MIN(D5:M5)&lt;5)&gt;1),"HỎNG","THI LẠI"))</f>
        <v>ĐẠT</v>
      </c>
      <c r="P5" s="150" t="str">
        <f t="shared" ref="P5:P16" si="1">IF(D5&lt;5,$D$4,"")&amp;IF(E5&lt;5,$E$4,"")&amp;IF(F5&lt;5,$F$4,"")&amp;IF(G5&lt;5,$G$4,"")&amp;IF(H5&lt;5,$H$4,"")&amp;IF(I5&lt;5,$I$4,"")&amp;IF(J5&lt;5,$J$4,"")&amp;IF(K5&lt;5,$K$4,"")&amp;IF(L5&lt;5,$L$4,"")&amp;IF(M5&lt;5,$M$4,"")</f>
        <v/>
      </c>
      <c r="Q5" s="150" t="str">
        <f t="shared" ref="Q5:Q17" si="2">IF(AND(O5="ĐẠT",AND(N5&gt;=5,N5&lt;7)),"TB",IF(AND(O5="ĐẠT",AND(N5&gt;=7,N5&lt;9)),"KHÁ",IF(AND(O5="ĐẠT",N5&gt;=9),"GIỎI","")))</f>
        <v>GIỎI</v>
      </c>
      <c r="R5" s="150">
        <f t="shared" ref="R5:R17" si="3">IF(Q5="GIỎI",100000,IF(Q5="KHÁ",50000,IF(Q5="TB",0,"")))</f>
        <v>100000</v>
      </c>
      <c r="S5" s="150">
        <f t="shared" ref="S5:S17" si="4">IF(AND(Q5="GIỎI",MIN(D5:M5)&gt;=5),100000,IF(AND(Q5="KHÁ",MIN(D5:M5)&gt;=5),50000,""))</f>
        <v>100000</v>
      </c>
      <c r="T5" s="379">
        <v>100000</v>
      </c>
    </row>
    <row r="6" spans="1:21">
      <c r="B6" s="375" t="s">
        <v>460</v>
      </c>
      <c r="C6" s="376" t="s">
        <v>1144</v>
      </c>
      <c r="D6" s="377">
        <v>9</v>
      </c>
      <c r="E6" s="377">
        <v>10</v>
      </c>
      <c r="F6" s="377">
        <v>9</v>
      </c>
      <c r="G6" s="377">
        <v>10</v>
      </c>
      <c r="H6" s="377">
        <v>9</v>
      </c>
      <c r="I6" s="377">
        <v>7</v>
      </c>
      <c r="J6" s="377">
        <v>10</v>
      </c>
      <c r="K6" s="377">
        <v>10</v>
      </c>
      <c r="L6" s="377">
        <v>9</v>
      </c>
      <c r="M6" s="377">
        <v>9</v>
      </c>
      <c r="N6" s="765">
        <f t="shared" ref="N6:N17" si="5">(SUMIF($D$4:$M$4,C6,D6:M6)+SUM(D6:M6))/11</f>
        <v>9.2727272727272734</v>
      </c>
      <c r="O6" s="150" t="str">
        <f t="shared" si="0"/>
        <v>ĐẠT</v>
      </c>
      <c r="P6" s="150" t="str">
        <f t="shared" si="1"/>
        <v/>
      </c>
      <c r="Q6" s="150" t="str">
        <f t="shared" si="2"/>
        <v>GIỎI</v>
      </c>
      <c r="R6" s="150">
        <f t="shared" si="3"/>
        <v>100000</v>
      </c>
      <c r="S6" s="150">
        <f t="shared" si="4"/>
        <v>100000</v>
      </c>
      <c r="T6" s="379">
        <v>100000</v>
      </c>
    </row>
    <row r="7" spans="1:21">
      <c r="B7" s="375" t="s">
        <v>775</v>
      </c>
      <c r="C7" s="376" t="s">
        <v>450</v>
      </c>
      <c r="D7" s="377">
        <v>9</v>
      </c>
      <c r="E7" s="377">
        <v>8</v>
      </c>
      <c r="F7" s="377">
        <v>8</v>
      </c>
      <c r="G7" s="377">
        <v>8</v>
      </c>
      <c r="H7" s="377">
        <v>8</v>
      </c>
      <c r="I7" s="377">
        <v>6</v>
      </c>
      <c r="J7" s="377">
        <v>9</v>
      </c>
      <c r="K7" s="377">
        <v>6</v>
      </c>
      <c r="L7" s="377">
        <v>8</v>
      </c>
      <c r="M7" s="377">
        <v>8</v>
      </c>
      <c r="N7" s="765">
        <f t="shared" si="5"/>
        <v>7.8181818181818183</v>
      </c>
      <c r="O7" s="150" t="str">
        <f t="shared" si="0"/>
        <v>ĐẠT</v>
      </c>
      <c r="P7" s="150" t="str">
        <f t="shared" si="1"/>
        <v/>
      </c>
      <c r="Q7" s="150" t="str">
        <f t="shared" si="2"/>
        <v>KHÁ</v>
      </c>
      <c r="R7" s="150">
        <f t="shared" si="3"/>
        <v>50000</v>
      </c>
      <c r="S7" s="150">
        <f t="shared" si="4"/>
        <v>50000</v>
      </c>
      <c r="T7" s="379">
        <v>50000</v>
      </c>
    </row>
    <row r="8" spans="1:21">
      <c r="B8" s="375" t="s">
        <v>999</v>
      </c>
      <c r="C8" s="376" t="s">
        <v>555</v>
      </c>
      <c r="D8" s="377">
        <v>9</v>
      </c>
      <c r="E8" s="377">
        <v>7</v>
      </c>
      <c r="F8" s="377">
        <v>9</v>
      </c>
      <c r="G8" s="377">
        <v>6</v>
      </c>
      <c r="H8" s="377">
        <v>8</v>
      </c>
      <c r="I8" s="377">
        <v>7</v>
      </c>
      <c r="J8" s="377">
        <v>7</v>
      </c>
      <c r="K8" s="377">
        <v>6</v>
      </c>
      <c r="L8" s="377">
        <v>6</v>
      </c>
      <c r="M8" s="377">
        <v>10</v>
      </c>
      <c r="N8" s="765">
        <f t="shared" si="5"/>
        <v>7.3636363636363633</v>
      </c>
      <c r="O8" s="150" t="str">
        <f t="shared" si="0"/>
        <v>ĐẠT</v>
      </c>
      <c r="P8" s="150" t="str">
        <f t="shared" si="1"/>
        <v/>
      </c>
      <c r="Q8" s="150" t="str">
        <f t="shared" si="2"/>
        <v>KHÁ</v>
      </c>
      <c r="R8" s="150">
        <f t="shared" si="3"/>
        <v>50000</v>
      </c>
      <c r="S8" s="150">
        <f t="shared" si="4"/>
        <v>50000</v>
      </c>
      <c r="T8" s="379">
        <v>50000</v>
      </c>
    </row>
    <row r="9" spans="1:21">
      <c r="B9" s="375" t="s">
        <v>774</v>
      </c>
      <c r="C9" s="376" t="s">
        <v>1295</v>
      </c>
      <c r="D9" s="377">
        <v>7</v>
      </c>
      <c r="E9" s="377">
        <v>8</v>
      </c>
      <c r="F9" s="377">
        <v>9</v>
      </c>
      <c r="G9" s="377">
        <v>9</v>
      </c>
      <c r="H9" s="377">
        <v>8</v>
      </c>
      <c r="I9" s="377">
        <v>7</v>
      </c>
      <c r="J9" s="377">
        <v>4</v>
      </c>
      <c r="K9" s="377">
        <v>7</v>
      </c>
      <c r="L9" s="377">
        <v>7</v>
      </c>
      <c r="M9" s="377">
        <v>5</v>
      </c>
      <c r="N9" s="765">
        <f t="shared" si="5"/>
        <v>7.0909090909090908</v>
      </c>
      <c r="O9" s="763" t="str">
        <f t="shared" si="0"/>
        <v>THI LẠI</v>
      </c>
      <c r="P9" s="150" t="str">
        <f>IF(D9&lt;5,$D$4,"")&amp;IF(E9&lt;5,$E$4,"")&amp;IF(F9&lt;5,$F$4,"")&amp;IF(G9&lt;5,$G$4,"")&amp;IF(H9&lt;5,$H$4,"")&amp;IF(I9&lt;5,$I$4,"")&amp;IF(J9&lt;5,$J$4,"")&amp;IF(K9&lt;5,$K$4,"")&amp;IF(L9&lt;5,$L$4,"")&amp;IF(M9&lt;5,$M$4,"")</f>
        <v>Anh</v>
      </c>
      <c r="Q9" s="150" t="str">
        <f t="shared" si="2"/>
        <v/>
      </c>
      <c r="R9" s="150" t="str">
        <f t="shared" si="3"/>
        <v/>
      </c>
      <c r="S9" s="150" t="str">
        <f t="shared" si="4"/>
        <v/>
      </c>
      <c r="T9" s="379" t="s">
        <v>106</v>
      </c>
    </row>
    <row r="10" spans="1:21">
      <c r="B10" s="375" t="s">
        <v>415</v>
      </c>
      <c r="C10" s="376" t="s">
        <v>452</v>
      </c>
      <c r="D10" s="377">
        <v>4</v>
      </c>
      <c r="E10" s="377">
        <v>6</v>
      </c>
      <c r="F10" s="377">
        <v>7</v>
      </c>
      <c r="G10" s="377">
        <v>6</v>
      </c>
      <c r="H10" s="377">
        <v>7</v>
      </c>
      <c r="I10" s="377">
        <v>8</v>
      </c>
      <c r="J10" s="377">
        <v>9</v>
      </c>
      <c r="K10" s="377">
        <v>6</v>
      </c>
      <c r="L10" s="377">
        <v>7</v>
      </c>
      <c r="M10" s="377">
        <v>9</v>
      </c>
      <c r="N10" s="765">
        <f t="shared" si="5"/>
        <v>7</v>
      </c>
      <c r="O10" s="762" t="str">
        <f t="shared" si="0"/>
        <v>THI LẠI</v>
      </c>
      <c r="P10" s="150" t="str">
        <f t="shared" si="1"/>
        <v>Toán</v>
      </c>
      <c r="Q10" s="150" t="str">
        <f t="shared" si="2"/>
        <v/>
      </c>
      <c r="R10" s="150" t="str">
        <f t="shared" si="3"/>
        <v/>
      </c>
      <c r="S10" s="150" t="str">
        <f t="shared" si="4"/>
        <v/>
      </c>
      <c r="T10" s="379" t="s">
        <v>106</v>
      </c>
    </row>
    <row r="11" spans="1:21">
      <c r="B11" s="375" t="s">
        <v>772</v>
      </c>
      <c r="C11" s="376" t="s">
        <v>451</v>
      </c>
      <c r="D11" s="377">
        <v>8</v>
      </c>
      <c r="E11" s="377">
        <v>9</v>
      </c>
      <c r="F11" s="377">
        <v>6</v>
      </c>
      <c r="G11" s="377">
        <v>9</v>
      </c>
      <c r="H11" s="377">
        <v>3</v>
      </c>
      <c r="I11" s="377">
        <v>8</v>
      </c>
      <c r="J11" s="377">
        <v>8</v>
      </c>
      <c r="K11" s="377">
        <v>6</v>
      </c>
      <c r="L11" s="377">
        <v>7</v>
      </c>
      <c r="M11" s="377">
        <v>8</v>
      </c>
      <c r="N11" s="765">
        <f t="shared" si="5"/>
        <v>6.8181818181818183</v>
      </c>
      <c r="O11" s="762" t="str">
        <f t="shared" si="0"/>
        <v>HỎNG</v>
      </c>
      <c r="P11" s="150" t="str">
        <f t="shared" si="1"/>
        <v>Sử</v>
      </c>
      <c r="Q11" s="150" t="str">
        <f t="shared" si="2"/>
        <v/>
      </c>
      <c r="R11" s="150" t="str">
        <f t="shared" si="3"/>
        <v/>
      </c>
      <c r="S11" s="150" t="str">
        <f t="shared" si="4"/>
        <v/>
      </c>
      <c r="T11" s="379" t="s">
        <v>106</v>
      </c>
    </row>
    <row r="12" spans="1:21">
      <c r="B12" s="375" t="s">
        <v>1430</v>
      </c>
      <c r="C12" s="376" t="s">
        <v>449</v>
      </c>
      <c r="D12" s="377">
        <v>9</v>
      </c>
      <c r="E12" s="377">
        <v>6</v>
      </c>
      <c r="F12" s="377">
        <v>7</v>
      </c>
      <c r="G12" s="377">
        <v>7</v>
      </c>
      <c r="H12" s="377">
        <v>7</v>
      </c>
      <c r="I12" s="377">
        <v>8</v>
      </c>
      <c r="J12" s="377">
        <v>7</v>
      </c>
      <c r="K12" s="377">
        <v>3</v>
      </c>
      <c r="L12" s="377">
        <v>6</v>
      </c>
      <c r="M12" s="377">
        <v>5</v>
      </c>
      <c r="N12" s="765">
        <f t="shared" si="5"/>
        <v>6.5454545454545459</v>
      </c>
      <c r="O12" s="762" t="str">
        <f t="shared" si="0"/>
        <v>THI LẠI</v>
      </c>
      <c r="P12" s="150" t="str">
        <f t="shared" si="1"/>
        <v>Pháp</v>
      </c>
      <c r="Q12" s="150" t="str">
        <f t="shared" si="2"/>
        <v/>
      </c>
      <c r="R12" s="150" t="str">
        <f t="shared" si="3"/>
        <v/>
      </c>
      <c r="S12" s="150" t="str">
        <f t="shared" si="4"/>
        <v/>
      </c>
      <c r="T12" s="379" t="s">
        <v>106</v>
      </c>
    </row>
    <row r="13" spans="1:21">
      <c r="B13" s="375" t="s">
        <v>1931</v>
      </c>
      <c r="C13" s="376" t="s">
        <v>1930</v>
      </c>
      <c r="D13" s="377">
        <v>8</v>
      </c>
      <c r="E13" s="377">
        <v>6</v>
      </c>
      <c r="F13" s="377">
        <v>7</v>
      </c>
      <c r="G13" s="377">
        <v>5</v>
      </c>
      <c r="H13" s="377">
        <v>6</v>
      </c>
      <c r="I13" s="377">
        <v>7</v>
      </c>
      <c r="J13" s="377">
        <v>7</v>
      </c>
      <c r="K13" s="377">
        <v>6</v>
      </c>
      <c r="L13" s="377">
        <v>5</v>
      </c>
      <c r="M13" s="377">
        <v>9</v>
      </c>
      <c r="N13" s="765">
        <f t="shared" si="5"/>
        <v>6.5454545454545459</v>
      </c>
      <c r="O13" s="150" t="str">
        <f t="shared" si="0"/>
        <v>ĐẠT</v>
      </c>
      <c r="P13" s="150" t="str">
        <f t="shared" si="1"/>
        <v/>
      </c>
      <c r="Q13" s="150" t="str">
        <f t="shared" si="2"/>
        <v>TB</v>
      </c>
      <c r="R13" s="150">
        <f t="shared" si="3"/>
        <v>0</v>
      </c>
      <c r="S13" s="150" t="str">
        <f t="shared" si="4"/>
        <v/>
      </c>
      <c r="T13" s="379">
        <v>0</v>
      </c>
    </row>
    <row r="14" spans="1:21">
      <c r="B14" s="375" t="s">
        <v>773</v>
      </c>
      <c r="C14" s="376" t="s">
        <v>449</v>
      </c>
      <c r="D14" s="377">
        <v>7</v>
      </c>
      <c r="E14" s="377">
        <v>5</v>
      </c>
      <c r="F14" s="377">
        <v>8</v>
      </c>
      <c r="G14" s="377">
        <v>5</v>
      </c>
      <c r="H14" s="377">
        <v>5</v>
      </c>
      <c r="I14" s="377">
        <v>7</v>
      </c>
      <c r="J14" s="377">
        <v>8</v>
      </c>
      <c r="K14" s="377">
        <v>9</v>
      </c>
      <c r="L14" s="377">
        <v>5</v>
      </c>
      <c r="M14" s="377">
        <v>4</v>
      </c>
      <c r="N14" s="765">
        <f t="shared" si="5"/>
        <v>6.4545454545454541</v>
      </c>
      <c r="O14" s="762" t="str">
        <f t="shared" si="0"/>
        <v>THI LẠI</v>
      </c>
      <c r="P14" s="150" t="str">
        <f t="shared" si="1"/>
        <v>Sinh</v>
      </c>
      <c r="Q14" s="150" t="str">
        <f t="shared" si="2"/>
        <v/>
      </c>
      <c r="R14" s="150" t="str">
        <f t="shared" si="3"/>
        <v/>
      </c>
      <c r="S14" s="150" t="str">
        <f t="shared" si="4"/>
        <v/>
      </c>
      <c r="T14" s="379"/>
    </row>
    <row r="15" spans="1:21">
      <c r="B15" s="375" t="s">
        <v>1002</v>
      </c>
      <c r="C15" s="376" t="s">
        <v>1292</v>
      </c>
      <c r="D15" s="377">
        <v>6</v>
      </c>
      <c r="E15" s="377">
        <v>5</v>
      </c>
      <c r="F15" s="377">
        <v>9</v>
      </c>
      <c r="G15" s="377">
        <v>4</v>
      </c>
      <c r="H15" s="377">
        <v>5</v>
      </c>
      <c r="I15" s="377">
        <v>6</v>
      </c>
      <c r="J15" s="377">
        <v>9</v>
      </c>
      <c r="K15" s="377">
        <v>6</v>
      </c>
      <c r="L15" s="377">
        <v>6</v>
      </c>
      <c r="M15" s="377">
        <v>7</v>
      </c>
      <c r="N15" s="765">
        <f t="shared" si="5"/>
        <v>6.2727272727272725</v>
      </c>
      <c r="O15" s="762" t="str">
        <f t="shared" si="0"/>
        <v>THI LẠI</v>
      </c>
      <c r="P15" s="150" t="str">
        <f t="shared" si="1"/>
        <v>Văn</v>
      </c>
      <c r="Q15" s="150" t="str">
        <f t="shared" si="2"/>
        <v/>
      </c>
      <c r="R15" s="150" t="str">
        <f t="shared" si="3"/>
        <v/>
      </c>
      <c r="S15" s="150" t="str">
        <f t="shared" si="4"/>
        <v/>
      </c>
      <c r="T15" s="378" t="s">
        <v>106</v>
      </c>
    </row>
    <row r="16" spans="1:21">
      <c r="B16" s="375" t="s">
        <v>776</v>
      </c>
      <c r="C16" s="376" t="s">
        <v>1144</v>
      </c>
      <c r="D16" s="377">
        <v>6</v>
      </c>
      <c r="E16" s="377">
        <v>5</v>
      </c>
      <c r="F16" s="377">
        <v>7</v>
      </c>
      <c r="G16" s="377">
        <v>5</v>
      </c>
      <c r="H16" s="377">
        <v>6</v>
      </c>
      <c r="I16" s="377">
        <v>6</v>
      </c>
      <c r="J16" s="377">
        <v>8</v>
      </c>
      <c r="K16" s="377">
        <v>7</v>
      </c>
      <c r="L16" s="377">
        <v>8</v>
      </c>
      <c r="M16" s="377">
        <v>5</v>
      </c>
      <c r="N16" s="765">
        <f t="shared" si="5"/>
        <v>6.1818181818181817</v>
      </c>
      <c r="O16" s="150" t="str">
        <f t="shared" si="0"/>
        <v>ĐẠT</v>
      </c>
      <c r="P16" s="150" t="str">
        <f t="shared" si="1"/>
        <v/>
      </c>
      <c r="Q16" s="150" t="str">
        <f t="shared" si="2"/>
        <v>TB</v>
      </c>
      <c r="R16" s="150">
        <f t="shared" si="3"/>
        <v>0</v>
      </c>
      <c r="S16" s="150" t="str">
        <f t="shared" si="4"/>
        <v/>
      </c>
      <c r="T16" s="379">
        <v>0</v>
      </c>
    </row>
    <row r="17" spans="1:20">
      <c r="B17" s="375" t="s">
        <v>422</v>
      </c>
      <c r="C17" s="376" t="s">
        <v>452</v>
      </c>
      <c r="D17" s="377">
        <v>5</v>
      </c>
      <c r="E17" s="377">
        <v>8</v>
      </c>
      <c r="F17" s="377">
        <v>6</v>
      </c>
      <c r="G17" s="377">
        <v>7</v>
      </c>
      <c r="H17" s="377">
        <v>6</v>
      </c>
      <c r="I17" s="377">
        <v>6</v>
      </c>
      <c r="J17" s="377">
        <v>9</v>
      </c>
      <c r="K17" s="377">
        <v>2</v>
      </c>
      <c r="L17" s="377">
        <v>6</v>
      </c>
      <c r="M17" s="377">
        <v>3</v>
      </c>
      <c r="N17" s="765">
        <f t="shared" si="5"/>
        <v>5.8181818181818183</v>
      </c>
      <c r="O17" s="762" t="str">
        <f t="shared" si="0"/>
        <v>THI LẠI</v>
      </c>
      <c r="P17" s="150" t="str">
        <f>IF(D17&lt;5,$D$4,"")&amp;IF(E17&lt;5,$E$4,"")&amp;IF(F17&lt;5,$F$4,"")&amp;IF(G17&lt;5,$G$4,"")&amp;IF(H17&lt;5,$H$4,"")&amp;IF(I17&lt;5,$I$4,"")&amp;IF(J17&lt;5,$J$4,"")&amp;IF(K17&lt;5,$K$4,"")&amp;IF(L17&lt;5,$L$4,"")&amp;IF(M17&lt;5,$M$4,"")</f>
        <v>PhápSinh</v>
      </c>
      <c r="Q17" s="150" t="str">
        <f t="shared" si="2"/>
        <v/>
      </c>
      <c r="R17" s="150" t="str">
        <f t="shared" si="3"/>
        <v/>
      </c>
      <c r="S17" s="150" t="str">
        <f t="shared" si="4"/>
        <v/>
      </c>
      <c r="T17" s="378" t="s">
        <v>106</v>
      </c>
    </row>
    <row r="18" spans="1:20">
      <c r="B18" s="380"/>
    </row>
    <row r="19" spans="1:20">
      <c r="A19" s="161" t="s">
        <v>345</v>
      </c>
      <c r="B19" s="162"/>
      <c r="C19" s="162"/>
      <c r="D19" s="162"/>
      <c r="E19" s="162"/>
      <c r="F19" s="162"/>
      <c r="G19" s="162"/>
      <c r="H19" s="162"/>
      <c r="I19" s="162"/>
      <c r="J19" s="162"/>
      <c r="K19" s="162"/>
      <c r="L19" s="162"/>
      <c r="M19" s="162"/>
      <c r="N19" s="162"/>
      <c r="O19" s="162"/>
      <c r="P19" s="162"/>
      <c r="Q19" s="162"/>
      <c r="R19" s="162"/>
    </row>
    <row r="20" spans="1:20">
      <c r="A20" s="163" t="s">
        <v>346</v>
      </c>
      <c r="B20" s="162" t="s">
        <v>777</v>
      </c>
      <c r="C20" s="162"/>
      <c r="D20" s="162"/>
      <c r="E20" s="162"/>
      <c r="F20" s="162"/>
      <c r="G20" s="162"/>
      <c r="H20" s="162"/>
      <c r="I20" s="162"/>
      <c r="J20" s="162"/>
      <c r="K20" s="162"/>
      <c r="L20" s="162"/>
      <c r="M20" s="162"/>
      <c r="N20" s="162"/>
      <c r="O20" s="162"/>
      <c r="P20" s="162"/>
      <c r="Q20" s="162"/>
      <c r="R20" s="162"/>
    </row>
    <row r="21" spans="1:20">
      <c r="A21" s="167"/>
      <c r="B21" s="162" t="s">
        <v>778</v>
      </c>
      <c r="C21" s="162"/>
      <c r="D21" s="162"/>
      <c r="E21" s="162"/>
      <c r="F21" s="162"/>
      <c r="G21" s="162"/>
      <c r="H21" s="162"/>
      <c r="I21" s="162"/>
      <c r="J21" s="162"/>
      <c r="K21" s="162"/>
      <c r="L21" s="162"/>
      <c r="M21" s="162"/>
      <c r="N21" s="162"/>
      <c r="O21" s="162"/>
      <c r="P21" s="162"/>
      <c r="Q21" s="162"/>
      <c r="R21" s="162"/>
    </row>
    <row r="22" spans="1:20">
      <c r="A22" s="163" t="s">
        <v>352</v>
      </c>
      <c r="B22" s="162" t="s">
        <v>779</v>
      </c>
      <c r="C22" s="162"/>
      <c r="D22" s="162"/>
      <c r="E22" s="162"/>
      <c r="F22" s="162"/>
      <c r="G22" s="162"/>
      <c r="H22" s="162"/>
      <c r="I22" s="162"/>
      <c r="J22" s="162"/>
      <c r="K22" s="162"/>
      <c r="L22" s="162"/>
      <c r="M22" s="162"/>
      <c r="N22" s="162"/>
      <c r="O22" s="162"/>
      <c r="P22" s="162"/>
      <c r="Q22" s="162"/>
      <c r="R22" s="162"/>
    </row>
    <row r="23" spans="1:20">
      <c r="A23" s="167"/>
      <c r="B23" s="766" t="s">
        <v>780</v>
      </c>
      <c r="C23" s="162"/>
      <c r="D23" s="162"/>
      <c r="E23" s="162"/>
      <c r="F23" s="162"/>
      <c r="G23" s="162"/>
      <c r="H23" s="162"/>
      <c r="I23" s="162"/>
      <c r="J23" s="162"/>
      <c r="K23" s="162"/>
      <c r="L23" s="162"/>
      <c r="M23" s="162"/>
      <c r="N23" s="162"/>
      <c r="O23" s="162"/>
      <c r="P23" s="162"/>
      <c r="Q23" s="162"/>
      <c r="R23" s="162"/>
    </row>
    <row r="24" spans="1:20">
      <c r="A24" s="167"/>
      <c r="B24" s="766" t="s">
        <v>781</v>
      </c>
      <c r="C24" s="162"/>
      <c r="D24" s="162"/>
      <c r="E24" s="162"/>
      <c r="F24" s="162"/>
      <c r="G24" s="162"/>
      <c r="H24" s="162"/>
      <c r="I24" s="162"/>
      <c r="J24" s="162"/>
      <c r="K24" s="162"/>
      <c r="L24" s="162"/>
      <c r="M24" s="162"/>
      <c r="N24" s="162"/>
      <c r="O24" s="162"/>
      <c r="P24" s="162"/>
      <c r="Q24" s="162"/>
      <c r="R24" s="162"/>
    </row>
    <row r="25" spans="1:20">
      <c r="A25" s="167"/>
      <c r="B25" s="766" t="s">
        <v>782</v>
      </c>
      <c r="C25" s="162"/>
      <c r="D25" s="162"/>
      <c r="E25" s="162"/>
      <c r="F25" s="162"/>
      <c r="G25" s="162"/>
      <c r="H25" s="162"/>
      <c r="I25" s="162"/>
      <c r="J25" s="162"/>
      <c r="K25" s="162"/>
      <c r="L25" s="162"/>
      <c r="M25" s="162"/>
      <c r="N25" s="162"/>
      <c r="O25" s="162"/>
      <c r="P25" s="162"/>
      <c r="Q25" s="162"/>
      <c r="R25" s="162"/>
    </row>
    <row r="26" spans="1:20">
      <c r="A26" s="163" t="s">
        <v>355</v>
      </c>
      <c r="B26" s="162" t="s">
        <v>783</v>
      </c>
      <c r="C26" s="162"/>
      <c r="D26" s="162"/>
      <c r="E26" s="162"/>
      <c r="F26" s="162"/>
      <c r="G26" s="162"/>
      <c r="H26" s="162"/>
      <c r="I26" s="162"/>
      <c r="J26" s="162"/>
      <c r="K26" s="162"/>
      <c r="L26" s="162"/>
      <c r="M26" s="162"/>
      <c r="N26" s="162"/>
      <c r="O26" s="162"/>
      <c r="P26" s="162"/>
      <c r="Q26" s="162"/>
      <c r="R26" s="162"/>
    </row>
    <row r="27" spans="1:20">
      <c r="A27" s="164"/>
      <c r="B27" s="166" t="s">
        <v>784</v>
      </c>
      <c r="C27" s="162"/>
      <c r="D27" s="162"/>
      <c r="E27" s="162"/>
      <c r="F27" s="162"/>
      <c r="G27" s="162"/>
      <c r="H27" s="162"/>
      <c r="I27" s="162"/>
      <c r="J27" s="162"/>
      <c r="K27" s="162"/>
      <c r="L27" s="162"/>
      <c r="M27" s="162"/>
      <c r="N27" s="162"/>
      <c r="O27" s="162"/>
      <c r="P27" s="162"/>
      <c r="Q27" s="162"/>
      <c r="R27" s="162"/>
    </row>
    <row r="28" spans="1:20">
      <c r="A28" s="164"/>
      <c r="B28" s="166" t="s">
        <v>785</v>
      </c>
      <c r="C28" s="162"/>
      <c r="D28" s="162"/>
      <c r="E28" s="162"/>
      <c r="F28" s="162"/>
      <c r="G28" s="162"/>
      <c r="H28" s="162"/>
      <c r="I28" s="162"/>
      <c r="J28" s="162"/>
      <c r="K28" s="162"/>
      <c r="L28" s="162"/>
      <c r="M28" s="162"/>
      <c r="N28" s="162"/>
      <c r="O28" s="162"/>
      <c r="P28" s="162"/>
      <c r="Q28" s="162"/>
      <c r="R28" s="162"/>
    </row>
    <row r="29" spans="1:20">
      <c r="A29" s="163" t="s">
        <v>358</v>
      </c>
      <c r="B29" s="162" t="s">
        <v>786</v>
      </c>
      <c r="C29" s="162"/>
      <c r="D29" s="162"/>
      <c r="E29" s="162"/>
      <c r="F29" s="162"/>
      <c r="G29" s="162"/>
      <c r="H29" s="162"/>
      <c r="I29" s="162"/>
      <c r="J29" s="162"/>
      <c r="K29" s="162"/>
      <c r="L29" s="162"/>
      <c r="M29" s="162"/>
      <c r="N29" s="162"/>
      <c r="O29" s="162"/>
      <c r="P29" s="162"/>
      <c r="Q29" s="162"/>
      <c r="R29" s="162"/>
    </row>
    <row r="30" spans="1:20">
      <c r="A30" s="167"/>
      <c r="B30" s="766" t="s">
        <v>787</v>
      </c>
      <c r="C30" s="162"/>
      <c r="D30" s="162"/>
      <c r="E30" s="162"/>
      <c r="F30" s="162"/>
      <c r="G30" s="162"/>
      <c r="H30" s="162"/>
      <c r="I30" s="162"/>
      <c r="J30" s="162"/>
      <c r="K30" s="162"/>
      <c r="L30" s="162"/>
      <c r="M30" s="162"/>
      <c r="N30" s="162"/>
      <c r="O30" s="162"/>
      <c r="P30" s="162"/>
      <c r="Q30" s="162"/>
      <c r="R30" s="162"/>
    </row>
    <row r="31" spans="1:20">
      <c r="A31" s="167"/>
      <c r="B31" s="766" t="s">
        <v>788</v>
      </c>
      <c r="C31" s="162"/>
      <c r="D31" s="162"/>
      <c r="E31" s="162"/>
      <c r="F31" s="162"/>
      <c r="G31" s="162"/>
      <c r="H31" s="162"/>
      <c r="I31" s="162"/>
      <c r="J31" s="162"/>
      <c r="K31" s="162"/>
      <c r="L31" s="162"/>
      <c r="M31" s="162"/>
      <c r="N31" s="162"/>
      <c r="O31" s="162"/>
      <c r="P31" s="162"/>
      <c r="Q31" s="162"/>
      <c r="R31" s="162"/>
    </row>
    <row r="32" spans="1:20">
      <c r="A32" s="167"/>
      <c r="B32" s="766" t="s">
        <v>789</v>
      </c>
      <c r="C32" s="162"/>
      <c r="D32" s="162"/>
      <c r="E32" s="162"/>
      <c r="F32" s="162"/>
      <c r="G32" s="162"/>
      <c r="H32" s="162"/>
      <c r="I32" s="162"/>
      <c r="J32" s="162"/>
      <c r="K32" s="162"/>
      <c r="L32" s="162"/>
      <c r="M32" s="162"/>
      <c r="N32" s="162"/>
      <c r="O32" s="162"/>
      <c r="P32" s="162"/>
      <c r="Q32" s="162"/>
      <c r="R32" s="162"/>
    </row>
    <row r="33" spans="1:18">
      <c r="A33" s="164"/>
      <c r="B33" s="166" t="s">
        <v>790</v>
      </c>
      <c r="C33" s="162"/>
      <c r="D33" s="162"/>
      <c r="E33" s="162"/>
      <c r="F33" s="162"/>
      <c r="G33" s="162"/>
      <c r="H33" s="162"/>
      <c r="I33" s="162"/>
      <c r="J33" s="162"/>
      <c r="K33" s="162"/>
      <c r="L33" s="162"/>
      <c r="M33" s="162"/>
      <c r="N33" s="162"/>
      <c r="O33" s="162"/>
      <c r="P33" s="162"/>
      <c r="Q33" s="162"/>
      <c r="R33" s="162"/>
    </row>
    <row r="34" spans="1:18">
      <c r="A34" s="163" t="s">
        <v>360</v>
      </c>
      <c r="B34" s="162" t="s">
        <v>791</v>
      </c>
      <c r="C34" s="162"/>
      <c r="D34" s="162"/>
      <c r="E34" s="162"/>
      <c r="F34" s="162"/>
      <c r="G34" s="162"/>
      <c r="H34" s="162"/>
      <c r="I34" s="162"/>
      <c r="J34" s="162"/>
      <c r="K34" s="162"/>
      <c r="L34" s="162"/>
      <c r="M34" s="162"/>
      <c r="N34" s="162"/>
      <c r="O34" s="162"/>
      <c r="P34" s="162"/>
      <c r="Q34" s="162"/>
      <c r="R34" s="162"/>
    </row>
    <row r="35" spans="1:18">
      <c r="A35" s="162"/>
      <c r="B35" s="166" t="s">
        <v>792</v>
      </c>
      <c r="C35" s="162"/>
      <c r="D35" s="162"/>
      <c r="E35" s="162"/>
      <c r="F35" s="162"/>
      <c r="G35" s="162"/>
      <c r="H35" s="162"/>
      <c r="I35" s="162"/>
      <c r="J35" s="162"/>
      <c r="K35" s="162"/>
      <c r="L35" s="162"/>
      <c r="M35" s="162"/>
      <c r="N35" s="162"/>
      <c r="O35" s="162"/>
      <c r="P35" s="162"/>
      <c r="Q35" s="162"/>
      <c r="R35" s="162"/>
    </row>
    <row r="36" spans="1:18">
      <c r="A36" s="162"/>
      <c r="B36" s="166" t="s">
        <v>793</v>
      </c>
      <c r="C36" s="162"/>
      <c r="D36" s="162"/>
      <c r="E36" s="162"/>
      <c r="F36" s="162"/>
      <c r="G36" s="162"/>
      <c r="H36" s="162"/>
      <c r="I36" s="162"/>
      <c r="J36" s="162"/>
      <c r="K36" s="162"/>
      <c r="L36" s="162"/>
      <c r="M36" s="162"/>
      <c r="N36" s="162"/>
      <c r="O36" s="162"/>
      <c r="P36" s="162"/>
      <c r="Q36" s="162"/>
      <c r="R36" s="162"/>
    </row>
    <row r="37" spans="1:18">
      <c r="A37" s="162"/>
      <c r="B37" s="166" t="s">
        <v>794</v>
      </c>
      <c r="C37" s="162"/>
      <c r="D37" s="162"/>
      <c r="E37" s="162"/>
      <c r="F37" s="162"/>
      <c r="G37" s="162"/>
      <c r="H37" s="162"/>
      <c r="I37" s="162"/>
      <c r="J37" s="162"/>
      <c r="K37" s="162"/>
      <c r="L37" s="162"/>
      <c r="M37" s="162"/>
      <c r="N37" s="162"/>
      <c r="O37" s="162"/>
      <c r="P37" s="162"/>
      <c r="Q37" s="162"/>
      <c r="R37" s="162"/>
    </row>
    <row r="38" spans="1:18">
      <c r="A38" s="162"/>
      <c r="B38" s="162" t="s">
        <v>795</v>
      </c>
      <c r="C38" s="162"/>
      <c r="D38" s="162"/>
      <c r="E38" s="162"/>
      <c r="F38" s="162"/>
      <c r="G38" s="162"/>
      <c r="H38" s="162"/>
      <c r="I38" s="162"/>
      <c r="J38" s="162"/>
      <c r="K38" s="162"/>
      <c r="L38" s="162"/>
      <c r="M38" s="162"/>
      <c r="N38" s="162"/>
      <c r="O38" s="162"/>
      <c r="P38" s="162"/>
      <c r="Q38" s="162"/>
      <c r="R38" s="162"/>
    </row>
    <row r="39" spans="1:18">
      <c r="A39" s="162"/>
      <c r="B39" s="166" t="s">
        <v>796</v>
      </c>
      <c r="C39" s="162"/>
      <c r="D39" s="162"/>
      <c r="E39" s="162"/>
      <c r="F39" s="162"/>
      <c r="G39" s="162"/>
      <c r="H39" s="162"/>
      <c r="I39" s="162"/>
      <c r="J39" s="162"/>
      <c r="K39" s="162"/>
      <c r="L39" s="162"/>
      <c r="M39" s="162"/>
      <c r="N39" s="162"/>
      <c r="O39" s="162"/>
      <c r="P39" s="162"/>
      <c r="Q39" s="162"/>
      <c r="R39" s="162"/>
    </row>
    <row r="40" spans="1:18">
      <c r="A40" s="162"/>
      <c r="B40" s="166" t="s">
        <v>797</v>
      </c>
      <c r="C40" s="162"/>
      <c r="D40" s="162"/>
      <c r="E40" s="162"/>
      <c r="F40" s="162"/>
      <c r="G40" s="162"/>
      <c r="H40" s="162"/>
      <c r="I40" s="162"/>
      <c r="J40" s="162"/>
      <c r="K40" s="162"/>
      <c r="L40" s="162"/>
      <c r="M40" s="162"/>
      <c r="N40" s="162"/>
      <c r="O40" s="162"/>
      <c r="P40" s="162"/>
      <c r="Q40" s="162"/>
      <c r="R40" s="162"/>
    </row>
    <row r="41" spans="1:18">
      <c r="A41" s="162"/>
      <c r="B41" s="166" t="s">
        <v>798</v>
      </c>
      <c r="C41" s="162"/>
      <c r="D41" s="162"/>
      <c r="E41" s="162"/>
      <c r="F41" s="162"/>
      <c r="G41" s="162"/>
      <c r="H41" s="162"/>
      <c r="I41" s="162"/>
      <c r="J41" s="162"/>
      <c r="K41" s="162"/>
      <c r="L41" s="162"/>
      <c r="M41" s="162"/>
      <c r="N41" s="162"/>
      <c r="O41" s="162"/>
      <c r="P41" s="162"/>
      <c r="Q41" s="162"/>
      <c r="R41" s="162"/>
    </row>
  </sheetData>
  <mergeCells count="11">
    <mergeCell ref="R3:R4"/>
    <mergeCell ref="T3:T4"/>
    <mergeCell ref="S3:S4"/>
    <mergeCell ref="B2:T2"/>
    <mergeCell ref="B3:B4"/>
    <mergeCell ref="C3:C4"/>
    <mergeCell ref="D3:M3"/>
    <mergeCell ref="N3:N4"/>
    <mergeCell ref="O3:O4"/>
    <mergeCell ref="P3:P4"/>
    <mergeCell ref="Q3:Q4"/>
  </mergeCells>
  <phoneticPr fontId="141" type="noConversion"/>
  <conditionalFormatting sqref="D5:M17">
    <cfRule type="cellIs" dxfId="4" priority="6" stopIfTrue="1" operator="between">
      <formula>5</formula>
      <formula>10</formula>
    </cfRule>
    <cfRule type="cellIs" dxfId="3" priority="7" stopIfTrue="1" operator="between">
      <formula>5</formula>
      <formula>10</formula>
    </cfRule>
    <cfRule type="colorScale" priority="8">
      <colorScale>
        <cfvo type="formula" val="&quot;&gt;5&quot;"/>
        <cfvo type="formula" val="&quot;5&lt;&quot;"/>
        <cfvo type="max"/>
        <color rgb="FFF8696B"/>
        <color rgb="FFFFEB84"/>
        <color rgb="FF63BE7B"/>
      </colorScale>
    </cfRule>
  </conditionalFormatting>
  <conditionalFormatting sqref="O5:O17">
    <cfRule type="containsText" dxfId="2" priority="1" stopIfTrue="1" operator="containsText" text="HỎNG">
      <formula>NOT(ISERROR(SEARCH("HỎNG",O5)))</formula>
    </cfRule>
    <cfRule type="containsText" dxfId="1" priority="2" stopIfTrue="1" operator="containsText" text="THI LẠI">
      <formula>NOT(ISERROR(SEARCH("THI LẠI",O5)))</formula>
    </cfRule>
    <cfRule type="expression" priority="3" stopIfTrue="1">
      <formula>$O$9</formula>
    </cfRule>
    <cfRule type="expression" priority="4" stopIfTrue="1">
      <formula>$O$9</formula>
    </cfRule>
    <cfRule type="expression" dxfId="0" priority="5" stopIfTrue="1">
      <formula>"THI LẠI"</formula>
    </cfRule>
  </conditionalFormatting>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23F9D-0A19-4371-803E-EB5BEA9C435B}">
  <dimension ref="A1:H37"/>
  <sheetViews>
    <sheetView workbookViewId="0">
      <selection activeCell="H1" sqref="H1"/>
    </sheetView>
  </sheetViews>
  <sheetFormatPr defaultRowHeight="15.75"/>
  <cols>
    <col min="1" max="1" width="12.42578125" style="145" customWidth="1"/>
    <col min="2" max="2" width="10.85546875" style="145" customWidth="1"/>
    <col min="3" max="3" width="21.140625" style="145" bestFit="1" customWidth="1"/>
    <col min="4" max="4" width="31.7109375" style="145" bestFit="1" customWidth="1"/>
    <col min="5" max="5" width="15.140625" style="145" customWidth="1"/>
    <col min="6" max="7" width="12.5703125" style="145" customWidth="1"/>
    <col min="8" max="8" width="12.42578125" style="145" bestFit="1" customWidth="1"/>
    <col min="9" max="16384" width="9.140625" style="145"/>
  </cols>
  <sheetData>
    <row r="1" spans="1:8">
      <c r="H1" s="886" t="s">
        <v>1991</v>
      </c>
    </row>
    <row r="2" spans="1:8">
      <c r="A2" s="334" t="s">
        <v>324</v>
      </c>
    </row>
    <row r="3" spans="1:8">
      <c r="B3" s="1130" t="s">
        <v>799</v>
      </c>
      <c r="C3" s="1130"/>
      <c r="D3" s="1130"/>
      <c r="E3" s="1130"/>
      <c r="F3" s="1130"/>
      <c r="G3" s="1130"/>
      <c r="H3" s="153"/>
    </row>
    <row r="4" spans="1:8">
      <c r="B4" s="381" t="s">
        <v>1108</v>
      </c>
      <c r="C4" s="381" t="s">
        <v>800</v>
      </c>
      <c r="D4" s="381" t="s">
        <v>801</v>
      </c>
      <c r="E4" s="381" t="s">
        <v>427</v>
      </c>
      <c r="F4" s="381" t="s">
        <v>802</v>
      </c>
      <c r="G4" s="381" t="s">
        <v>719</v>
      </c>
    </row>
    <row r="5" spans="1:8">
      <c r="B5" s="382" t="s">
        <v>803</v>
      </c>
      <c r="C5" s="382" t="s">
        <v>804</v>
      </c>
      <c r="D5" s="383" t="str">
        <f t="shared" ref="D5:D10" si="0">VLOOKUP(LEFT(B5,3),$B$19:$C$21,2,0)&amp;" - "&amp;HLOOKUP(RIGHT(B5,2),$D$17:$F$18,2,0)</f>
        <v>CDRom - SamSung</v>
      </c>
      <c r="E5" s="383">
        <f t="shared" ref="E5:E10" si="1">VLOOKUP(LEFT(B5,3),$B$19:$F$21,IF(RIGHT(B5,2)="SS",3,IF(RIGHT(B5,2)="IM",4,5)),0)</f>
        <v>30</v>
      </c>
      <c r="F5" s="384">
        <v>96</v>
      </c>
      <c r="G5" s="385">
        <f t="shared" ref="G5:G10" si="2">F5*E5</f>
        <v>2880</v>
      </c>
    </row>
    <row r="6" spans="1:8">
      <c r="B6" s="382" t="s">
        <v>805</v>
      </c>
      <c r="C6" s="382" t="s">
        <v>806</v>
      </c>
      <c r="D6" s="383" t="str">
        <f t="shared" si="0"/>
        <v>Keyboard - Dell</v>
      </c>
      <c r="E6" s="383">
        <f t="shared" si="1"/>
        <v>15</v>
      </c>
      <c r="F6" s="384">
        <v>35</v>
      </c>
      <c r="G6" s="385">
        <f t="shared" si="2"/>
        <v>525</v>
      </c>
    </row>
    <row r="7" spans="1:8">
      <c r="B7" s="382" t="s">
        <v>807</v>
      </c>
      <c r="C7" s="382" t="s">
        <v>808</v>
      </c>
      <c r="D7" s="383" t="str">
        <f t="shared" si="0"/>
        <v>Mouse - IBM</v>
      </c>
      <c r="E7" s="383">
        <f t="shared" si="1"/>
        <v>9</v>
      </c>
      <c r="F7" s="384">
        <v>19</v>
      </c>
      <c r="G7" s="385">
        <f t="shared" si="2"/>
        <v>171</v>
      </c>
    </row>
    <row r="8" spans="1:8">
      <c r="B8" s="382" t="s">
        <v>809</v>
      </c>
      <c r="C8" s="382" t="s">
        <v>806</v>
      </c>
      <c r="D8" s="383" t="str">
        <f t="shared" si="0"/>
        <v>Keyboard - SamSung</v>
      </c>
      <c r="E8" s="383">
        <f t="shared" si="1"/>
        <v>10</v>
      </c>
      <c r="F8" s="384">
        <v>39</v>
      </c>
      <c r="G8" s="385">
        <f t="shared" si="2"/>
        <v>390</v>
      </c>
    </row>
    <row r="9" spans="1:8">
      <c r="B9" s="382" t="s">
        <v>810</v>
      </c>
      <c r="C9" s="382" t="s">
        <v>808</v>
      </c>
      <c r="D9" s="383" t="str">
        <f t="shared" si="0"/>
        <v>CDRom - Dell</v>
      </c>
      <c r="E9" s="383">
        <f t="shared" si="1"/>
        <v>20</v>
      </c>
      <c r="F9" s="384">
        <v>53</v>
      </c>
      <c r="G9" s="385">
        <f t="shared" si="2"/>
        <v>1060</v>
      </c>
    </row>
    <row r="10" spans="1:8">
      <c r="B10" s="382" t="s">
        <v>807</v>
      </c>
      <c r="C10" s="382" t="s">
        <v>804</v>
      </c>
      <c r="D10" s="383" t="str">
        <f t="shared" si="0"/>
        <v>Mouse - IBM</v>
      </c>
      <c r="E10" s="383">
        <f t="shared" si="1"/>
        <v>9</v>
      </c>
      <c r="F10" s="384">
        <v>88</v>
      </c>
      <c r="G10" s="385">
        <f t="shared" si="2"/>
        <v>792</v>
      </c>
    </row>
    <row r="11" spans="1:8">
      <c r="B11" s="1163" t="s">
        <v>335</v>
      </c>
      <c r="C11" s="1163"/>
      <c r="D11" s="1163"/>
      <c r="E11" s="1163"/>
      <c r="F11" s="386"/>
      <c r="G11" s="387">
        <f>SUM(G5:G10)</f>
        <v>5818</v>
      </c>
    </row>
    <row r="12" spans="1:8">
      <c r="C12" s="388" t="s">
        <v>336</v>
      </c>
      <c r="G12" s="389">
        <v>5818</v>
      </c>
    </row>
    <row r="13" spans="1:8">
      <c r="C13" s="388"/>
      <c r="G13" s="389"/>
    </row>
    <row r="14" spans="1:8">
      <c r="A14" s="334" t="s">
        <v>337</v>
      </c>
      <c r="H14" s="334"/>
    </row>
    <row r="15" spans="1:8">
      <c r="B15" s="1164" t="s">
        <v>811</v>
      </c>
      <c r="C15" s="1164"/>
      <c r="D15" s="1164"/>
      <c r="E15" s="1164"/>
      <c r="F15" s="1164"/>
    </row>
    <row r="16" spans="1:8">
      <c r="B16" s="201"/>
      <c r="C16" s="201"/>
      <c r="D16" s="1165" t="s">
        <v>812</v>
      </c>
      <c r="E16" s="1165"/>
      <c r="F16" s="1165"/>
    </row>
    <row r="17" spans="1:6">
      <c r="B17" s="201"/>
      <c r="C17" s="201"/>
      <c r="D17" s="390" t="s">
        <v>813</v>
      </c>
      <c r="E17" s="390" t="s">
        <v>814</v>
      </c>
      <c r="F17" s="390" t="s">
        <v>815</v>
      </c>
    </row>
    <row r="18" spans="1:6">
      <c r="B18" s="381" t="s">
        <v>714</v>
      </c>
      <c r="C18" s="381" t="s">
        <v>715</v>
      </c>
      <c r="D18" s="391" t="s">
        <v>816</v>
      </c>
      <c r="E18" s="391" t="s">
        <v>817</v>
      </c>
      <c r="F18" s="391" t="s">
        <v>818</v>
      </c>
    </row>
    <row r="19" spans="1:6">
      <c r="B19" s="392" t="s">
        <v>819</v>
      </c>
      <c r="C19" s="377" t="s">
        <v>820</v>
      </c>
      <c r="D19" s="393">
        <v>30</v>
      </c>
      <c r="E19" s="393">
        <v>25</v>
      </c>
      <c r="F19" s="393">
        <v>20</v>
      </c>
    </row>
    <row r="20" spans="1:6">
      <c r="B20" s="392" t="s">
        <v>821</v>
      </c>
      <c r="C20" s="377" t="s">
        <v>822</v>
      </c>
      <c r="D20" s="393">
        <v>10</v>
      </c>
      <c r="E20" s="393">
        <v>17</v>
      </c>
      <c r="F20" s="393">
        <v>15</v>
      </c>
    </row>
    <row r="21" spans="1:6">
      <c r="B21" s="392" t="s">
        <v>823</v>
      </c>
      <c r="C21" s="377" t="s">
        <v>1176</v>
      </c>
      <c r="D21" s="393">
        <v>5</v>
      </c>
      <c r="E21" s="393">
        <v>9</v>
      </c>
      <c r="F21" s="393">
        <v>13</v>
      </c>
    </row>
    <row r="22" spans="1:6">
      <c r="B22" s="394"/>
      <c r="C22" s="174"/>
      <c r="D22" s="395"/>
      <c r="E22" s="395"/>
      <c r="F22" s="395"/>
    </row>
    <row r="23" spans="1:6">
      <c r="A23" s="334" t="s">
        <v>824</v>
      </c>
    </row>
    <row r="24" spans="1:6" ht="31.5">
      <c r="A24" s="396"/>
      <c r="C24" s="1162" t="s">
        <v>825</v>
      </c>
      <c r="D24" s="1162"/>
      <c r="E24" s="397" t="s">
        <v>365</v>
      </c>
    </row>
    <row r="25" spans="1:6">
      <c r="C25" s="398" t="s">
        <v>800</v>
      </c>
      <c r="D25" s="399" t="s">
        <v>826</v>
      </c>
      <c r="E25" s="201"/>
    </row>
    <row r="26" spans="1:6">
      <c r="C26" s="391" t="s">
        <v>804</v>
      </c>
      <c r="D26" s="383">
        <f>SUMIF($C$5:$C$10,C26,$G$5:$G$10)</f>
        <v>3672</v>
      </c>
      <c r="E26" s="400">
        <v>3672</v>
      </c>
    </row>
    <row r="27" spans="1:6">
      <c r="C27" s="391" t="s">
        <v>806</v>
      </c>
      <c r="D27" s="383">
        <f>SUMIF($C$5:$C$10,C27,$G$5:$G$10)</f>
        <v>915</v>
      </c>
      <c r="E27" s="400">
        <v>915</v>
      </c>
    </row>
    <row r="28" spans="1:6">
      <c r="C28" s="391" t="s">
        <v>808</v>
      </c>
      <c r="D28" s="383">
        <f>SUMIF($C$5:$C$10,C28,$G$5:$G$10)</f>
        <v>1231</v>
      </c>
      <c r="E28" s="400">
        <v>1231</v>
      </c>
    </row>
    <row r="29" spans="1:6">
      <c r="C29" s="401" t="s">
        <v>335</v>
      </c>
    </row>
    <row r="30" spans="1:6">
      <c r="A30" s="161" t="s">
        <v>345</v>
      </c>
      <c r="B30" s="162"/>
      <c r="C30" s="402"/>
      <c r="D30" s="162"/>
      <c r="E30" s="162"/>
      <c r="F30" s="162"/>
    </row>
    <row r="31" spans="1:6">
      <c r="A31" s="163" t="s">
        <v>346</v>
      </c>
      <c r="B31" s="162" t="s">
        <v>827</v>
      </c>
      <c r="C31" s="162"/>
      <c r="D31" s="162"/>
      <c r="E31" s="162"/>
      <c r="F31" s="162"/>
    </row>
    <row r="32" spans="1:6">
      <c r="A32" s="167"/>
      <c r="B32" s="162" t="s">
        <v>828</v>
      </c>
      <c r="C32" s="162"/>
      <c r="D32" s="162"/>
      <c r="E32" s="162"/>
      <c r="F32" s="162"/>
    </row>
    <row r="33" spans="1:6">
      <c r="A33" s="167"/>
      <c r="B33" s="403" t="s">
        <v>829</v>
      </c>
      <c r="C33" s="162"/>
      <c r="D33" s="162"/>
      <c r="E33" s="162"/>
      <c r="F33" s="162"/>
    </row>
    <row r="34" spans="1:6">
      <c r="A34" s="163" t="s">
        <v>352</v>
      </c>
      <c r="B34" s="162" t="s">
        <v>830</v>
      </c>
      <c r="C34" s="162"/>
      <c r="D34" s="162"/>
      <c r="E34" s="162"/>
      <c r="F34" s="162"/>
    </row>
    <row r="35" spans="1:6">
      <c r="A35" s="163" t="s">
        <v>355</v>
      </c>
      <c r="B35" s="162" t="s">
        <v>831</v>
      </c>
      <c r="C35" s="162"/>
      <c r="D35" s="162"/>
      <c r="E35" s="162"/>
      <c r="F35" s="162"/>
    </row>
    <row r="36" spans="1:6">
      <c r="A36" s="163" t="s">
        <v>358</v>
      </c>
      <c r="B36" s="162" t="s">
        <v>832</v>
      </c>
      <c r="C36" s="162"/>
      <c r="D36" s="162"/>
      <c r="E36" s="162"/>
      <c r="F36" s="162"/>
    </row>
    <row r="37" spans="1:6">
      <c r="A37" s="404"/>
    </row>
  </sheetData>
  <mergeCells count="5">
    <mergeCell ref="C24:D24"/>
    <mergeCell ref="B3:G3"/>
    <mergeCell ref="B11:E11"/>
    <mergeCell ref="B15:F15"/>
    <mergeCell ref="D16:F16"/>
  </mergeCells>
  <phoneticPr fontId="141"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F9D5-5D75-4B2A-89A3-255EE0D85A90}">
  <dimension ref="A1:Q38"/>
  <sheetViews>
    <sheetView workbookViewId="0">
      <selection activeCell="J1" sqref="J1"/>
    </sheetView>
  </sheetViews>
  <sheetFormatPr defaultRowHeight="15.75"/>
  <cols>
    <col min="1" max="1" width="12.140625" style="308" customWidth="1"/>
    <col min="2" max="2" width="13.140625" style="308" bestFit="1" customWidth="1"/>
    <col min="3" max="3" width="11.140625" style="308" customWidth="1"/>
    <col min="4" max="4" width="5.140625" style="308" bestFit="1" customWidth="1"/>
    <col min="5" max="5" width="9.5703125" style="308" customWidth="1"/>
    <col min="6" max="6" width="16.5703125" style="308" customWidth="1"/>
    <col min="7" max="7" width="12.140625" style="308" bestFit="1" customWidth="1"/>
    <col min="8" max="8" width="12.140625" style="308" customWidth="1"/>
    <col min="9" max="9" width="11.140625" style="308" bestFit="1" customWidth="1"/>
    <col min="10" max="10" width="13.5703125" style="308" customWidth="1"/>
    <col min="11" max="11" width="4.28515625" style="308" customWidth="1"/>
    <col min="12" max="12" width="9.140625" style="308"/>
    <col min="13" max="13" width="12.140625" style="308" customWidth="1"/>
    <col min="14" max="14" width="12.42578125" style="308" customWidth="1"/>
    <col min="15" max="17" width="10.42578125" style="308" bestFit="1" customWidth="1"/>
    <col min="18" max="16384" width="9.140625" style="308"/>
  </cols>
  <sheetData>
    <row r="1" spans="1:14">
      <c r="J1" s="886" t="s">
        <v>1991</v>
      </c>
      <c r="K1" s="145"/>
    </row>
    <row r="3" spans="1:14" ht="15.75" customHeight="1">
      <c r="A3" s="1172" t="s">
        <v>853</v>
      </c>
      <c r="B3" s="1172"/>
      <c r="C3" s="1172"/>
      <c r="D3" s="243"/>
      <c r="E3" s="1173" t="s">
        <v>854</v>
      </c>
      <c r="F3" s="1174"/>
      <c r="G3" s="1174"/>
      <c r="H3" s="1175"/>
      <c r="I3" s="243"/>
      <c r="J3" s="554"/>
    </row>
    <row r="4" spans="1:14" ht="31.5">
      <c r="A4" s="555" t="s">
        <v>1138</v>
      </c>
      <c r="B4" s="555" t="s">
        <v>1142</v>
      </c>
      <c r="C4" s="555" t="s">
        <v>855</v>
      </c>
      <c r="E4" s="555" t="s">
        <v>1142</v>
      </c>
      <c r="F4" s="277" t="s">
        <v>856</v>
      </c>
      <c r="G4" s="277" t="s">
        <v>857</v>
      </c>
      <c r="H4" s="277" t="s">
        <v>1124</v>
      </c>
    </row>
    <row r="5" spans="1:14">
      <c r="A5" s="556" t="s">
        <v>1141</v>
      </c>
      <c r="B5" s="556" t="s">
        <v>856</v>
      </c>
      <c r="C5" s="556">
        <v>22</v>
      </c>
      <c r="E5" s="555" t="s">
        <v>1087</v>
      </c>
      <c r="F5" s="556">
        <v>27</v>
      </c>
      <c r="G5" s="556">
        <v>25</v>
      </c>
      <c r="H5" s="556">
        <v>37</v>
      </c>
    </row>
    <row r="6" spans="1:14">
      <c r="A6" s="556" t="s">
        <v>1140</v>
      </c>
      <c r="B6" s="556" t="s">
        <v>857</v>
      </c>
      <c r="C6" s="556">
        <v>20</v>
      </c>
      <c r="E6" s="557"/>
      <c r="F6" s="557"/>
      <c r="G6" s="557"/>
      <c r="H6" s="557"/>
      <c r="I6" s="554"/>
    </row>
    <row r="7" spans="1:14" ht="15.75" customHeight="1">
      <c r="A7" s="556" t="s">
        <v>1139</v>
      </c>
      <c r="B7" s="556" t="s">
        <v>1124</v>
      </c>
      <c r="C7" s="556">
        <v>32</v>
      </c>
      <c r="E7" s="558"/>
      <c r="F7" s="558"/>
      <c r="G7" s="558"/>
      <c r="H7" s="558"/>
      <c r="I7" s="243"/>
      <c r="J7" s="243"/>
      <c r="K7" s="557"/>
    </row>
    <row r="8" spans="1:14">
      <c r="A8" s="1172" t="s">
        <v>858</v>
      </c>
      <c r="B8" s="1172"/>
      <c r="C8" s="1172"/>
      <c r="D8" s="243"/>
      <c r="E8" s="1172" t="s">
        <v>859</v>
      </c>
      <c r="F8" s="1172"/>
      <c r="G8" s="1172"/>
      <c r="H8" s="243"/>
      <c r="I8" s="558"/>
      <c r="J8" s="557"/>
      <c r="K8" s="554"/>
    </row>
    <row r="9" spans="1:14" ht="31.5">
      <c r="A9" s="555" t="s">
        <v>860</v>
      </c>
      <c r="B9" s="555" t="s">
        <v>861</v>
      </c>
      <c r="C9" s="555" t="s">
        <v>862</v>
      </c>
      <c r="E9" s="555" t="s">
        <v>863</v>
      </c>
      <c r="F9" s="555" t="s">
        <v>864</v>
      </c>
      <c r="G9" s="555" t="s">
        <v>862</v>
      </c>
      <c r="H9" s="559"/>
      <c r="I9" s="558"/>
      <c r="J9" s="557"/>
      <c r="K9" s="554"/>
    </row>
    <row r="10" spans="1:14" ht="31.5">
      <c r="A10" s="560" t="s">
        <v>865</v>
      </c>
      <c r="B10" s="560" t="s">
        <v>866</v>
      </c>
      <c r="C10" s="556">
        <v>1</v>
      </c>
      <c r="E10" s="556">
        <v>1</v>
      </c>
      <c r="F10" s="560" t="s">
        <v>867</v>
      </c>
      <c r="G10" s="556">
        <v>3</v>
      </c>
      <c r="H10" s="561"/>
      <c r="I10" s="558"/>
      <c r="J10" s="557"/>
      <c r="K10" s="554"/>
    </row>
    <row r="11" spans="1:14" ht="31.5">
      <c r="A11" s="560" t="s">
        <v>868</v>
      </c>
      <c r="B11" s="560" t="s">
        <v>869</v>
      </c>
      <c r="C11" s="556">
        <v>2</v>
      </c>
      <c r="E11" s="556">
        <v>2</v>
      </c>
      <c r="F11" s="560" t="s">
        <v>870</v>
      </c>
      <c r="G11" s="556">
        <v>2</v>
      </c>
      <c r="H11" s="561"/>
      <c r="I11" s="562"/>
      <c r="J11" s="562"/>
      <c r="K11" s="554"/>
    </row>
    <row r="12" spans="1:14" ht="31.5">
      <c r="A12" s="563" t="s">
        <v>871</v>
      </c>
      <c r="B12" s="563" t="s">
        <v>872</v>
      </c>
      <c r="C12" s="564">
        <v>3</v>
      </c>
      <c r="E12" s="564">
        <v>3</v>
      </c>
      <c r="F12" s="563" t="s">
        <v>873</v>
      </c>
      <c r="G12" s="564">
        <v>1</v>
      </c>
      <c r="H12" s="561"/>
      <c r="I12" s="562"/>
      <c r="J12" s="562"/>
      <c r="K12" s="554"/>
    </row>
    <row r="13" spans="1:14" ht="16.5" customHeight="1">
      <c r="A13" s="1172" t="s">
        <v>874</v>
      </c>
      <c r="B13" s="1172"/>
      <c r="C13" s="1172"/>
      <c r="D13" s="1172"/>
      <c r="E13" s="1172"/>
      <c r="F13" s="1172"/>
      <c r="G13" s="1172"/>
      <c r="H13" s="1172"/>
      <c r="I13" s="1172"/>
      <c r="J13" s="1172"/>
      <c r="K13" s="565"/>
    </row>
    <row r="14" spans="1:14">
      <c r="A14" s="1170" t="s">
        <v>1380</v>
      </c>
      <c r="B14" s="1170" t="s">
        <v>189</v>
      </c>
      <c r="C14" s="1170" t="s">
        <v>875</v>
      </c>
      <c r="D14" s="1170" t="s">
        <v>1087</v>
      </c>
      <c r="E14" s="1171"/>
      <c r="F14" s="1171"/>
      <c r="G14" s="1170" t="s">
        <v>103</v>
      </c>
      <c r="H14" s="1168" t="s">
        <v>876</v>
      </c>
      <c r="I14" s="1170" t="s">
        <v>876</v>
      </c>
      <c r="J14" s="1170" t="s">
        <v>877</v>
      </c>
      <c r="K14" s="558"/>
      <c r="L14" s="566" t="s">
        <v>878</v>
      </c>
      <c r="M14" s="566" t="s">
        <v>879</v>
      </c>
      <c r="N14" s="566" t="s">
        <v>880</v>
      </c>
    </row>
    <row r="15" spans="1:14">
      <c r="A15" s="1171"/>
      <c r="B15" s="1171"/>
      <c r="C15" s="1171"/>
      <c r="D15" s="555" t="s">
        <v>450</v>
      </c>
      <c r="E15" s="555" t="s">
        <v>451</v>
      </c>
      <c r="F15" s="555" t="s">
        <v>1144</v>
      </c>
      <c r="G15" s="1171"/>
      <c r="H15" s="1169"/>
      <c r="I15" s="1171"/>
      <c r="J15" s="1171"/>
      <c r="K15" s="567"/>
      <c r="L15" s="566" t="b">
        <f>AND(LEFT(A16,1)="C",H16="ĐẬU")</f>
        <v>0</v>
      </c>
      <c r="M15" s="566" t="b">
        <f>AND(LEFT(A16,1)="B",H16="ĐẬU")</f>
        <v>0</v>
      </c>
      <c r="N15" s="566" t="b">
        <f>AND(LEFT(A16,1)="A",H16="ĐẬU")</f>
        <v>0</v>
      </c>
    </row>
    <row r="16" spans="1:14">
      <c r="A16" s="560" t="s">
        <v>881</v>
      </c>
      <c r="B16" s="560" t="s">
        <v>882</v>
      </c>
      <c r="C16" s="691" t="str">
        <f>VLOOKUP(LEFT(A16,1),$A$5:$C$7,2,0)</f>
        <v>LÝ</v>
      </c>
      <c r="D16" s="556">
        <v>5</v>
      </c>
      <c r="E16" s="556">
        <v>5</v>
      </c>
      <c r="F16" s="556">
        <v>8</v>
      </c>
      <c r="G16" s="691">
        <f>SUM(D16:F16)+SUMIF($D$15:$F$15,C16,D16:F16)+IF(OR(MID(A16,3,2)="VS",MID(A16,3,2)="VX",MID(A16,3,2)="MN"),VLOOKUP(MID(A16,3,2),$A$10:$C$12,3,0),0)+VLOOKUP(VALUE(MID(A16,2,1)),$E$10:$G$12,3,0)</f>
        <v>30</v>
      </c>
      <c r="H16" s="691" t="str">
        <f>IF(AND(MIN(D16:F16)&gt;3,G16&gt;=VLOOKUP(LEFT(A16,1),$A$5:$C$7,3,0)),"ĐẬU","RỚT")</f>
        <v>RỚT</v>
      </c>
      <c r="I16" s="691" t="str">
        <f>IF(OR(D16&lt;=3,E16&lt;=3,F16&lt;=3),"RỚT",IF(G16&gt;=VLOOKUP(LEFT(A16,1),$A$5:$C$7,3,0),"ĐẬU","RỚT"))</f>
        <v>RỚT</v>
      </c>
      <c r="J16" s="691" t="str">
        <f>IF(AND(H16="ĐẬU",G16&gt;=HLOOKUP(C16,$F$4:$H$5,2,0)),"CÓ",IF(AND(H16="ĐẬU",G16&lt;HLOOKUP(C16,$F$4:$H$5,2,0)),"KHÔNG",""))</f>
        <v/>
      </c>
    </row>
    <row r="17" spans="1:17" ht="15.75" customHeight="1">
      <c r="A17" s="560" t="s">
        <v>883</v>
      </c>
      <c r="B17" s="560" t="s">
        <v>884</v>
      </c>
      <c r="C17" s="691" t="str">
        <f>VLOOKUP(LEFT(A17,1),$A$5:$C$7,2,0)</f>
        <v>SINH</v>
      </c>
      <c r="D17" s="556">
        <v>4</v>
      </c>
      <c r="E17" s="556">
        <v>5</v>
      </c>
      <c r="F17" s="556">
        <v>7</v>
      </c>
      <c r="G17" s="691">
        <f>SUM(D17:F17)+SUMIF($D$15:$F$15,C17,D17:F17)+IF(OR(MID(A17,3,2)="VS",MID(A17,3,2)="VX",MID(A17,3,2)="MN"),VLOOKUP(MID(A17,3,2),$A$10:$C$12,3,0),0)+VLOOKUP(VALUE(MID(A17,2,1)),$E$10:$G$12,3,0)</f>
        <v>23</v>
      </c>
      <c r="H17" s="691" t="str">
        <f t="shared" ref="H17:H25" si="0">IF(AND(MIN(D17:F17)&gt;3,G17&gt;=VLOOKUP(LEFT(A17,1),$A$5:$C$7,3,0)),"ĐẬU","RỚT")</f>
        <v>ĐẬU</v>
      </c>
      <c r="I17" s="691" t="str">
        <f t="shared" ref="I17:I25" si="1">IF(OR(D17&lt;=3,E17&lt;=3,F17&lt;=3),"RỚT",IF(G17&gt;=VLOOKUP(LEFT(A17,1),$A$5:$C$7,3,0),"ĐẬU","RỚT"))</f>
        <v>ĐẬU</v>
      </c>
      <c r="J17" s="691" t="str">
        <f t="shared" ref="J17:J25" si="2">IF(AND(H17="ĐẬU",G17&gt;=HLOOKUP(C17,$F$4:$H$5,2,0)),"CÓ",IF(AND(H17="ĐẬU",G17&lt;HLOOKUP(C17,$F$4:$H$5,2,0)),"KHÔNG",""))</f>
        <v>KHÔNG</v>
      </c>
    </row>
    <row r="18" spans="1:17">
      <c r="A18" s="560" t="s">
        <v>885</v>
      </c>
      <c r="B18" s="560" t="s">
        <v>886</v>
      </c>
      <c r="C18" s="691" t="str">
        <f t="shared" ref="C18:C25" si="3">VLOOKUP(LEFT(A18,1),$A$5:$C$7,2,0)</f>
        <v>SỬ</v>
      </c>
      <c r="D18" s="556">
        <v>6</v>
      </c>
      <c r="E18" s="556">
        <v>6</v>
      </c>
      <c r="F18" s="556">
        <v>6</v>
      </c>
      <c r="G18" s="691">
        <f>SUM(D18:F18)+SUMIF($D$15:$F$15,C18,D18:F18)+IF(OR(MID(A18,3,2)="VS",MID(A18,3,2)="VX",MID(A18,3,2)="MN"),VLOOKUP(MID(A18,3,2),$A$10:$C$12,3,0),0)+VLOOKUP(VALUE(MID(A18,2,1)),$E$10:$G$12,3,0)</f>
        <v>28</v>
      </c>
      <c r="H18" s="691" t="str">
        <f t="shared" si="0"/>
        <v>ĐẬU</v>
      </c>
      <c r="I18" s="691" t="str">
        <f t="shared" si="1"/>
        <v>ĐẬU</v>
      </c>
      <c r="J18" s="691" t="str">
        <f t="shared" si="2"/>
        <v>CÓ</v>
      </c>
    </row>
    <row r="19" spans="1:17">
      <c r="A19" s="560" t="s">
        <v>887</v>
      </c>
      <c r="B19" s="560" t="s">
        <v>888</v>
      </c>
      <c r="C19" s="691" t="str">
        <f t="shared" si="3"/>
        <v>SINH</v>
      </c>
      <c r="D19" s="556">
        <v>3</v>
      </c>
      <c r="E19" s="556">
        <v>8</v>
      </c>
      <c r="F19" s="556">
        <v>8</v>
      </c>
      <c r="G19" s="691">
        <f t="shared" ref="G19:G25" si="4">SUM(D19:F19)+SUMIF($D$15:$F$15,C19,D19:F19)+IF(OR(MID(A19,3,2)="VS",MID(A19,3,2)="VX",MID(A19,3,2)="MN"),VLOOKUP(MID(A19,3,2),$A$10:$C$12,3,0),0)+VLOOKUP(VALUE(MID(A19,2,1)),$E$10:$G$12,3,0)</f>
        <v>24</v>
      </c>
      <c r="H19" s="691" t="str">
        <f t="shared" si="0"/>
        <v>RỚT</v>
      </c>
      <c r="I19" s="691" t="str">
        <f t="shared" si="1"/>
        <v>RỚT</v>
      </c>
      <c r="J19" s="691" t="str">
        <f t="shared" si="2"/>
        <v/>
      </c>
    </row>
    <row r="20" spans="1:17">
      <c r="A20" s="560" t="s">
        <v>889</v>
      </c>
      <c r="B20" s="560" t="s">
        <v>890</v>
      </c>
      <c r="C20" s="691" t="str">
        <f t="shared" si="3"/>
        <v>LÝ</v>
      </c>
      <c r="D20" s="556">
        <v>8</v>
      </c>
      <c r="E20" s="556">
        <v>5</v>
      </c>
      <c r="F20" s="556">
        <v>9</v>
      </c>
      <c r="G20" s="691">
        <f t="shared" si="4"/>
        <v>36</v>
      </c>
      <c r="H20" s="691" t="str">
        <f t="shared" si="0"/>
        <v>ĐẬU</v>
      </c>
      <c r="I20" s="691" t="str">
        <f t="shared" si="1"/>
        <v>ĐẬU</v>
      </c>
      <c r="J20" s="691" t="str">
        <f t="shared" si="2"/>
        <v>KHÔNG</v>
      </c>
      <c r="L20" s="1172" t="s">
        <v>891</v>
      </c>
      <c r="M20" s="1172"/>
      <c r="N20" s="1172"/>
      <c r="O20" s="1172"/>
    </row>
    <row r="21" spans="1:17" ht="15.75" customHeight="1">
      <c r="A21" s="560" t="s">
        <v>892</v>
      </c>
      <c r="B21" s="560" t="s">
        <v>893</v>
      </c>
      <c r="C21" s="691" t="str">
        <f t="shared" si="3"/>
        <v>SINH</v>
      </c>
      <c r="D21" s="556">
        <v>3</v>
      </c>
      <c r="E21" s="556">
        <v>4</v>
      </c>
      <c r="F21" s="556">
        <v>9</v>
      </c>
      <c r="G21" s="691">
        <f t="shared" si="4"/>
        <v>22</v>
      </c>
      <c r="H21" s="691" t="str">
        <f t="shared" si="0"/>
        <v>RỚT</v>
      </c>
      <c r="I21" s="691" t="str">
        <f t="shared" si="1"/>
        <v>RỚT</v>
      </c>
      <c r="J21" s="691" t="str">
        <f t="shared" si="2"/>
        <v/>
      </c>
      <c r="L21" s="1166" t="s">
        <v>894</v>
      </c>
      <c r="M21" s="1167"/>
      <c r="N21" s="1167"/>
      <c r="O21" s="692">
        <f>COUNTIF($H$16:$H$25,"RỚT")</f>
        <v>7</v>
      </c>
    </row>
    <row r="22" spans="1:17">
      <c r="A22" s="560" t="s">
        <v>895</v>
      </c>
      <c r="B22" s="560" t="s">
        <v>896</v>
      </c>
      <c r="C22" s="691" t="str">
        <f t="shared" si="3"/>
        <v>LÝ</v>
      </c>
      <c r="D22" s="556">
        <v>3</v>
      </c>
      <c r="E22" s="556">
        <v>2</v>
      </c>
      <c r="F22" s="556">
        <v>8</v>
      </c>
      <c r="G22" s="691">
        <f t="shared" si="4"/>
        <v>24</v>
      </c>
      <c r="H22" s="691" t="str">
        <f t="shared" si="0"/>
        <v>RỚT</v>
      </c>
      <c r="I22" s="691" t="str">
        <f t="shared" si="1"/>
        <v>RỚT</v>
      </c>
      <c r="J22" s="691" t="str">
        <f t="shared" si="2"/>
        <v/>
      </c>
      <c r="L22" s="1166" t="s">
        <v>897</v>
      </c>
      <c r="M22" s="1167"/>
      <c r="N22" s="1167"/>
      <c r="O22" s="692">
        <f>COUNTIF($J$16:$J$25,"CÓ")</f>
        <v>1</v>
      </c>
    </row>
    <row r="23" spans="1:17" ht="15.75" customHeight="1">
      <c r="A23" s="560" t="s">
        <v>898</v>
      </c>
      <c r="B23" s="560" t="s">
        <v>899</v>
      </c>
      <c r="C23" s="691" t="str">
        <f t="shared" si="3"/>
        <v>SỬ</v>
      </c>
      <c r="D23" s="556">
        <v>2</v>
      </c>
      <c r="E23" s="556">
        <v>4</v>
      </c>
      <c r="F23" s="556">
        <v>6</v>
      </c>
      <c r="G23" s="691">
        <f t="shared" si="4"/>
        <v>18</v>
      </c>
      <c r="H23" s="691" t="str">
        <f t="shared" si="0"/>
        <v>RỚT</v>
      </c>
      <c r="I23" s="691" t="str">
        <f t="shared" si="1"/>
        <v>RỚT</v>
      </c>
      <c r="J23" s="691" t="str">
        <f t="shared" si="2"/>
        <v/>
      </c>
      <c r="L23" s="1166" t="s">
        <v>900</v>
      </c>
      <c r="M23" s="1167"/>
      <c r="N23" s="1167"/>
      <c r="O23" s="692">
        <f>COUNTA($B$16:$B$25)</f>
        <v>10</v>
      </c>
    </row>
    <row r="24" spans="1:17">
      <c r="A24" s="560" t="s">
        <v>901</v>
      </c>
      <c r="B24" s="560" t="s">
        <v>902</v>
      </c>
      <c r="C24" s="691" t="str">
        <f t="shared" si="3"/>
        <v>LÝ</v>
      </c>
      <c r="D24" s="556">
        <v>5</v>
      </c>
      <c r="E24" s="556">
        <v>3</v>
      </c>
      <c r="F24" s="556">
        <v>4</v>
      </c>
      <c r="G24" s="691">
        <f t="shared" si="4"/>
        <v>19</v>
      </c>
      <c r="H24" s="691" t="str">
        <f t="shared" si="0"/>
        <v>RỚT</v>
      </c>
      <c r="I24" s="691" t="str">
        <f t="shared" si="1"/>
        <v>RỚT</v>
      </c>
      <c r="J24" s="691" t="str">
        <f t="shared" si="2"/>
        <v/>
      </c>
      <c r="L24" s="1166" t="s">
        <v>903</v>
      </c>
      <c r="M24" s="1167"/>
      <c r="N24" s="1167"/>
      <c r="O24" s="556" t="s">
        <v>451</v>
      </c>
      <c r="P24" s="556" t="s">
        <v>450</v>
      </c>
      <c r="Q24" s="556" t="s">
        <v>1144</v>
      </c>
    </row>
    <row r="25" spans="1:17">
      <c r="A25" s="560" t="s">
        <v>904</v>
      </c>
      <c r="B25" s="560" t="s">
        <v>905</v>
      </c>
      <c r="C25" s="691" t="str">
        <f t="shared" si="3"/>
        <v>SỬ</v>
      </c>
      <c r="D25" s="556">
        <v>3</v>
      </c>
      <c r="E25" s="556">
        <v>7</v>
      </c>
      <c r="F25" s="556">
        <v>4</v>
      </c>
      <c r="G25" s="691">
        <f t="shared" si="4"/>
        <v>24</v>
      </c>
      <c r="H25" s="691" t="str">
        <f t="shared" si="0"/>
        <v>RỚT</v>
      </c>
      <c r="I25" s="691" t="str">
        <f t="shared" si="1"/>
        <v>RỚT</v>
      </c>
      <c r="J25" s="691" t="str">
        <f t="shared" si="2"/>
        <v/>
      </c>
      <c r="O25" s="693">
        <f>DCOUNTA($A$14:$J$25,H14,$L$14:$L$15)</f>
        <v>1</v>
      </c>
      <c r="P25" s="692">
        <f>DCOUNTA($A$14:$J$25,H14,$M$14:$M$15)</f>
        <v>1</v>
      </c>
      <c r="Q25" s="692">
        <f>DCOUNTA($A$14:$J$25,H14,$N$14:$N$15)</f>
        <v>1</v>
      </c>
    </row>
    <row r="26" spans="1:17">
      <c r="A26" s="568" t="s">
        <v>906</v>
      </c>
      <c r="B26" s="569"/>
      <c r="C26" s="569"/>
      <c r="D26" s="569"/>
      <c r="E26" s="569"/>
      <c r="F26" s="569"/>
      <c r="G26" s="569"/>
      <c r="H26" s="569"/>
      <c r="I26" s="569"/>
      <c r="J26" s="569"/>
      <c r="K26" s="569"/>
      <c r="L26" s="569"/>
      <c r="M26" s="570"/>
      <c r="N26" s="570"/>
      <c r="O26" s="570"/>
      <c r="P26" s="570"/>
      <c r="Q26" s="570"/>
    </row>
    <row r="27" spans="1:17">
      <c r="A27" s="569" t="s">
        <v>907</v>
      </c>
      <c r="B27" s="569"/>
      <c r="C27" s="569"/>
      <c r="D27" s="569"/>
      <c r="E27" s="569"/>
      <c r="F27" s="569"/>
      <c r="G27" s="569"/>
      <c r="H27" s="569"/>
      <c r="I27" s="569"/>
      <c r="J27" s="569"/>
      <c r="K27" s="569"/>
      <c r="L27" s="569"/>
      <c r="M27" s="570"/>
      <c r="N27" s="570"/>
      <c r="O27" s="570"/>
      <c r="P27" s="570"/>
      <c r="Q27" s="570"/>
    </row>
    <row r="28" spans="1:17">
      <c r="A28" s="569" t="s">
        <v>908</v>
      </c>
      <c r="B28" s="569"/>
      <c r="C28" s="569"/>
      <c r="D28" s="569"/>
      <c r="E28" s="569"/>
      <c r="F28" s="569"/>
      <c r="G28" s="569"/>
      <c r="H28" s="569"/>
      <c r="I28" s="569"/>
      <c r="J28" s="569"/>
      <c r="K28" s="569"/>
      <c r="L28" s="569"/>
      <c r="M28" s="570"/>
      <c r="N28" s="570"/>
      <c r="O28" s="570"/>
      <c r="P28" s="570"/>
      <c r="Q28" s="570"/>
    </row>
    <row r="29" spans="1:17">
      <c r="A29" s="569" t="s">
        <v>909</v>
      </c>
      <c r="B29" s="569"/>
      <c r="C29" s="569"/>
      <c r="D29" s="569"/>
      <c r="E29" s="569"/>
      <c r="F29" s="569"/>
      <c r="G29" s="569"/>
      <c r="H29" s="569"/>
      <c r="I29" s="569"/>
      <c r="J29" s="569"/>
      <c r="K29" s="569"/>
      <c r="L29" s="569"/>
      <c r="M29" s="570"/>
      <c r="N29" s="570"/>
      <c r="O29" s="570"/>
      <c r="P29" s="570"/>
      <c r="Q29" s="570"/>
    </row>
    <row r="30" spans="1:17">
      <c r="A30" s="569" t="s">
        <v>1315</v>
      </c>
      <c r="B30" s="569"/>
      <c r="C30" s="569"/>
      <c r="D30" s="569"/>
      <c r="E30" s="569"/>
      <c r="F30" s="569"/>
      <c r="G30" s="569"/>
      <c r="H30" s="569"/>
      <c r="I30" s="569"/>
      <c r="J30" s="569"/>
      <c r="K30" s="569"/>
      <c r="L30" s="569"/>
      <c r="M30" s="570"/>
      <c r="N30" s="570"/>
      <c r="O30" s="570"/>
      <c r="P30" s="570"/>
      <c r="Q30" s="570"/>
    </row>
    <row r="31" spans="1:17">
      <c r="A31" s="571" t="s">
        <v>910</v>
      </c>
      <c r="B31" s="569"/>
      <c r="C31" s="569"/>
      <c r="D31" s="569"/>
      <c r="E31" s="569"/>
      <c r="F31" s="569"/>
      <c r="G31" s="569"/>
      <c r="H31" s="569"/>
      <c r="I31" s="569"/>
      <c r="J31" s="569"/>
      <c r="K31" s="569"/>
      <c r="L31" s="569"/>
      <c r="M31" s="570"/>
      <c r="N31" s="570"/>
      <c r="O31" s="570"/>
      <c r="P31" s="570"/>
      <c r="Q31" s="570"/>
    </row>
    <row r="32" spans="1:17">
      <c r="A32" s="571" t="s">
        <v>911</v>
      </c>
      <c r="B32" s="571"/>
      <c r="C32" s="571"/>
      <c r="D32" s="571"/>
      <c r="E32" s="571"/>
      <c r="F32" s="571"/>
      <c r="G32" s="571"/>
      <c r="H32" s="571"/>
      <c r="I32" s="571"/>
      <c r="J32" s="571"/>
      <c r="K32" s="571"/>
      <c r="L32" s="571"/>
      <c r="M32" s="570"/>
      <c r="N32" s="570"/>
      <c r="O32" s="570"/>
      <c r="P32" s="570"/>
      <c r="Q32" s="570"/>
    </row>
    <row r="33" spans="1:17">
      <c r="A33" s="571" t="s">
        <v>912</v>
      </c>
      <c r="B33" s="571"/>
      <c r="C33" s="571"/>
      <c r="D33" s="571"/>
      <c r="E33" s="571"/>
      <c r="F33" s="571"/>
      <c r="G33" s="571"/>
      <c r="H33" s="571"/>
      <c r="I33" s="571"/>
      <c r="J33" s="571"/>
      <c r="K33" s="571"/>
      <c r="L33" s="571"/>
      <c r="M33" s="570"/>
      <c r="N33" s="570"/>
      <c r="O33" s="570"/>
      <c r="P33" s="570"/>
      <c r="Q33" s="570"/>
    </row>
    <row r="34" spans="1:17">
      <c r="A34" s="569" t="s">
        <v>913</v>
      </c>
      <c r="B34" s="569"/>
      <c r="C34" s="569"/>
      <c r="D34" s="569"/>
      <c r="E34" s="569"/>
      <c r="F34" s="569"/>
      <c r="G34" s="569"/>
      <c r="H34" s="569"/>
      <c r="I34" s="569"/>
      <c r="J34" s="569"/>
      <c r="K34" s="569"/>
      <c r="L34" s="569"/>
      <c r="M34" s="570"/>
      <c r="N34" s="570"/>
      <c r="O34" s="570"/>
      <c r="P34" s="570"/>
      <c r="Q34" s="570"/>
    </row>
    <row r="35" spans="1:17">
      <c r="A35" s="569" t="s">
        <v>914</v>
      </c>
      <c r="B35" s="569"/>
      <c r="C35" s="569"/>
      <c r="D35" s="569"/>
      <c r="E35" s="569"/>
      <c r="F35" s="569"/>
      <c r="G35" s="569"/>
      <c r="H35" s="569"/>
      <c r="I35" s="569"/>
      <c r="J35" s="569"/>
      <c r="K35" s="569"/>
      <c r="L35" s="569"/>
      <c r="M35" s="570"/>
      <c r="N35" s="570"/>
      <c r="O35" s="570"/>
      <c r="P35" s="570"/>
      <c r="Q35" s="570"/>
    </row>
    <row r="36" spans="1:17">
      <c r="A36" s="569" t="s">
        <v>915</v>
      </c>
      <c r="B36" s="569"/>
      <c r="C36" s="569"/>
      <c r="D36" s="569"/>
      <c r="E36" s="569"/>
      <c r="F36" s="569"/>
      <c r="G36" s="569"/>
      <c r="H36" s="569"/>
      <c r="I36" s="569"/>
      <c r="J36" s="569"/>
      <c r="K36" s="569"/>
      <c r="L36" s="569"/>
      <c r="M36" s="570"/>
      <c r="N36" s="570"/>
      <c r="O36" s="570"/>
      <c r="P36" s="570"/>
      <c r="Q36" s="570"/>
    </row>
    <row r="37" spans="1:17">
      <c r="A37" s="569" t="s">
        <v>916</v>
      </c>
      <c r="B37" s="569"/>
      <c r="C37" s="569"/>
      <c r="D37" s="569"/>
      <c r="E37" s="569"/>
      <c r="F37" s="569"/>
      <c r="G37" s="569"/>
      <c r="H37" s="569"/>
      <c r="I37" s="569"/>
      <c r="J37" s="569"/>
      <c r="K37" s="569"/>
      <c r="L37" s="569"/>
      <c r="M37" s="570"/>
      <c r="N37" s="570"/>
      <c r="O37" s="570"/>
      <c r="P37" s="570"/>
      <c r="Q37" s="570"/>
    </row>
    <row r="38" spans="1:17">
      <c r="A38" s="569" t="s">
        <v>917</v>
      </c>
      <c r="B38" s="569"/>
      <c r="C38" s="569"/>
      <c r="D38" s="569"/>
      <c r="E38" s="569"/>
      <c r="F38" s="569"/>
      <c r="G38" s="569"/>
      <c r="H38" s="569"/>
      <c r="I38" s="569"/>
      <c r="J38" s="569"/>
      <c r="K38" s="569"/>
      <c r="L38" s="569"/>
      <c r="M38" s="570"/>
      <c r="N38" s="570"/>
      <c r="O38" s="570"/>
      <c r="P38" s="570"/>
      <c r="Q38" s="570"/>
    </row>
  </sheetData>
  <mergeCells count="18">
    <mergeCell ref="A3:C3"/>
    <mergeCell ref="E3:H3"/>
    <mergeCell ref="A8:C8"/>
    <mergeCell ref="E8:G8"/>
    <mergeCell ref="A13:J13"/>
    <mergeCell ref="A14:A15"/>
    <mergeCell ref="B14:B15"/>
    <mergeCell ref="C14:C15"/>
    <mergeCell ref="D14:F14"/>
    <mergeCell ref="G14:G15"/>
    <mergeCell ref="L23:N23"/>
    <mergeCell ref="L24:N24"/>
    <mergeCell ref="H14:H15"/>
    <mergeCell ref="I14:I15"/>
    <mergeCell ref="J14:J15"/>
    <mergeCell ref="L20:O20"/>
    <mergeCell ref="L21:N21"/>
    <mergeCell ref="L22:N22"/>
  </mergeCells>
  <phoneticPr fontId="141"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34B31-1BED-464E-A56D-BF159F359EB3}">
  <dimension ref="A1:I50"/>
  <sheetViews>
    <sheetView workbookViewId="0">
      <selection activeCell="G1" sqref="G1"/>
    </sheetView>
  </sheetViews>
  <sheetFormatPr defaultRowHeight="15.75"/>
  <cols>
    <col min="1" max="1" width="18.5703125" style="605" customWidth="1"/>
    <col min="2" max="2" width="16.140625" style="605" bestFit="1" customWidth="1"/>
    <col min="3" max="3" width="16" style="605" customWidth="1"/>
    <col min="4" max="4" width="12.5703125" style="605" bestFit="1" customWidth="1"/>
    <col min="5" max="5" width="13.140625" style="605" bestFit="1" customWidth="1"/>
    <col min="6" max="6" width="14.140625" style="605" customWidth="1"/>
    <col min="7" max="7" width="17.5703125" style="605" customWidth="1"/>
    <col min="8" max="8" width="12.7109375" style="605" bestFit="1" customWidth="1"/>
    <col min="9" max="9" width="17.5703125" style="605" bestFit="1" customWidth="1"/>
    <col min="10" max="16384" width="9.140625" style="605"/>
  </cols>
  <sheetData>
    <row r="1" spans="1:9">
      <c r="A1" s="1176" t="s">
        <v>930</v>
      </c>
      <c r="B1" s="1176"/>
      <c r="C1" s="1176"/>
      <c r="D1" s="1176"/>
      <c r="G1" s="886" t="s">
        <v>1991</v>
      </c>
      <c r="H1" s="145"/>
    </row>
    <row r="2" spans="1:9">
      <c r="A2" s="606" t="s">
        <v>346</v>
      </c>
      <c r="B2" s="606" t="s">
        <v>352</v>
      </c>
      <c r="C2" s="606" t="s">
        <v>355</v>
      </c>
      <c r="D2" s="606" t="s">
        <v>358</v>
      </c>
    </row>
    <row r="3" spans="1:9">
      <c r="A3" s="606" t="s">
        <v>360</v>
      </c>
      <c r="B3" s="606" t="s">
        <v>441</v>
      </c>
      <c r="C3" s="606" t="s">
        <v>658</v>
      </c>
      <c r="D3" s="606"/>
      <c r="F3" s="607"/>
    </row>
    <row r="4" spans="1:9">
      <c r="F4" s="607"/>
    </row>
    <row r="5" spans="1:9">
      <c r="A5" s="1177" t="s">
        <v>931</v>
      </c>
      <c r="B5" s="1177"/>
      <c r="C5" s="1177"/>
      <c r="D5" s="1178"/>
      <c r="E5" s="1178"/>
      <c r="F5" s="607"/>
    </row>
    <row r="6" spans="1:9">
      <c r="A6" s="608" t="s">
        <v>932</v>
      </c>
      <c r="B6" s="609" t="s">
        <v>933</v>
      </c>
      <c r="C6" s="609" t="s">
        <v>934</v>
      </c>
      <c r="D6" s="609" t="s">
        <v>935</v>
      </c>
      <c r="E6" s="609" t="s">
        <v>936</v>
      </c>
    </row>
    <row r="7" spans="1:9">
      <c r="A7" s="608" t="s">
        <v>1032</v>
      </c>
      <c r="B7" s="399">
        <v>3000</v>
      </c>
      <c r="C7" s="399">
        <v>3200</v>
      </c>
      <c r="D7" s="399">
        <v>3100</v>
      </c>
      <c r="E7" s="399">
        <v>3400</v>
      </c>
    </row>
    <row r="8" spans="1:9">
      <c r="A8" s="610"/>
      <c r="B8" s="610"/>
    </row>
    <row r="9" spans="1:9">
      <c r="A9" s="608" t="s">
        <v>937</v>
      </c>
      <c r="B9" s="608" t="s">
        <v>1380</v>
      </c>
      <c r="C9" s="608" t="s">
        <v>938</v>
      </c>
      <c r="D9" s="608" t="s">
        <v>939</v>
      </c>
      <c r="E9" s="608" t="s">
        <v>940</v>
      </c>
      <c r="F9" s="608" t="s">
        <v>1032</v>
      </c>
      <c r="G9" s="608" t="s">
        <v>941</v>
      </c>
      <c r="H9" s="608" t="s">
        <v>942</v>
      </c>
      <c r="I9" s="611"/>
    </row>
    <row r="10" spans="1:9">
      <c r="A10" s="612">
        <v>38233</v>
      </c>
      <c r="B10" s="613" t="s">
        <v>943</v>
      </c>
      <c r="C10" s="614" t="str">
        <f t="shared" ref="C10:C15" si="0">RIGHT(B10,LEN(B10)-3)</f>
        <v>842016</v>
      </c>
      <c r="D10" s="615">
        <v>0.33333333333333331</v>
      </c>
      <c r="E10" s="615">
        <v>0.375</v>
      </c>
      <c r="F10" s="614">
        <f t="shared" ref="F10:F15" si="1">IF(LEFT(B10,2)="11",1500,IF(LEFT(B10,2)="12",2000,IF(LEFT(B10,2)="13",HLOOKUP(LEFT(C10,3),$B$6:$E$7,2,0))))*IF(OR(WEEKDAY(A10)=1,HOUR(D10)&lt;19),90%,1)</f>
        <v>1350</v>
      </c>
      <c r="G10" s="616">
        <f t="shared" ref="G10:G15" si="2">(HOUR(E10-D10)*60+MINUTE(E10-D10))*F10</f>
        <v>81000</v>
      </c>
      <c r="H10" s="617" t="str">
        <f t="shared" ref="H10:H15" si="3">IF(HOUR(E10-D10)*60+MINUTE(E10-D10)&gt;60,"ÁO",IF(AND(HOUR(E10-D10)*60+MINUTE(E10-D10)&lt;=60,HOUR(E10-D10)*60+MINUTE(E10-D10)&gt;50),"NÓN",""))</f>
        <v>NÓN</v>
      </c>
      <c r="I10" s="618">
        <f t="shared" ref="I10:I15" si="4">HOUR(E10-D10)*60+MINUTE(E10-D10)</f>
        <v>60</v>
      </c>
    </row>
    <row r="11" spans="1:9">
      <c r="A11" s="612">
        <v>38234</v>
      </c>
      <c r="B11" s="613" t="s">
        <v>944</v>
      </c>
      <c r="C11" s="614" t="str">
        <f t="shared" si="0"/>
        <v>0913166658</v>
      </c>
      <c r="D11" s="615">
        <v>0.52430555555555558</v>
      </c>
      <c r="E11" s="615">
        <v>0.55208333333333337</v>
      </c>
      <c r="F11" s="614">
        <f t="shared" si="1"/>
        <v>2880</v>
      </c>
      <c r="G11" s="616">
        <f t="shared" si="2"/>
        <v>115200</v>
      </c>
      <c r="H11" s="617" t="str">
        <f t="shared" si="3"/>
        <v/>
      </c>
      <c r="I11" s="618">
        <f t="shared" si="4"/>
        <v>40</v>
      </c>
    </row>
    <row r="12" spans="1:9">
      <c r="A12" s="612">
        <v>38235</v>
      </c>
      <c r="B12" s="613" t="s">
        <v>945</v>
      </c>
      <c r="C12" s="614" t="str">
        <f t="shared" si="0"/>
        <v>067822139</v>
      </c>
      <c r="D12" s="615">
        <v>0.68402777777777779</v>
      </c>
      <c r="E12" s="615">
        <v>0.71458333333333324</v>
      </c>
      <c r="F12" s="614">
        <f t="shared" si="1"/>
        <v>1800</v>
      </c>
      <c r="G12" s="616">
        <f t="shared" si="2"/>
        <v>79200</v>
      </c>
      <c r="H12" s="617" t="str">
        <f t="shared" si="3"/>
        <v/>
      </c>
      <c r="I12" s="618">
        <f t="shared" si="4"/>
        <v>44</v>
      </c>
    </row>
    <row r="13" spans="1:9">
      <c r="A13" s="612">
        <v>38244</v>
      </c>
      <c r="B13" s="613" t="s">
        <v>946</v>
      </c>
      <c r="C13" s="614" t="str">
        <f t="shared" si="0"/>
        <v>882386</v>
      </c>
      <c r="D13" s="615">
        <v>0.81597222222222221</v>
      </c>
      <c r="E13" s="615">
        <v>0.86111111111111116</v>
      </c>
      <c r="F13" s="614">
        <f t="shared" si="1"/>
        <v>1500</v>
      </c>
      <c r="G13" s="616">
        <f t="shared" si="2"/>
        <v>97500</v>
      </c>
      <c r="H13" s="617" t="str">
        <f t="shared" si="3"/>
        <v>ÁO</v>
      </c>
      <c r="I13" s="618">
        <f t="shared" si="4"/>
        <v>65</v>
      </c>
    </row>
    <row r="14" spans="1:9">
      <c r="A14" s="612">
        <v>38255</v>
      </c>
      <c r="B14" s="613" t="s">
        <v>947</v>
      </c>
      <c r="C14" s="614" t="str">
        <f t="shared" si="0"/>
        <v>0918662139</v>
      </c>
      <c r="D14" s="615">
        <v>0.86458333333333337</v>
      </c>
      <c r="E14" s="615">
        <v>0.88541666666666663</v>
      </c>
      <c r="F14" s="614">
        <f t="shared" si="1"/>
        <v>3200</v>
      </c>
      <c r="G14" s="616">
        <f t="shared" si="2"/>
        <v>96000</v>
      </c>
      <c r="H14" s="617" t="str">
        <f t="shared" si="3"/>
        <v/>
      </c>
      <c r="I14" s="618">
        <f t="shared" si="4"/>
        <v>30</v>
      </c>
    </row>
    <row r="15" spans="1:9">
      <c r="A15" s="612">
        <v>38288</v>
      </c>
      <c r="B15" s="613" t="s">
        <v>948</v>
      </c>
      <c r="C15" s="614" t="str">
        <f t="shared" si="0"/>
        <v>0908363616</v>
      </c>
      <c r="D15" s="615">
        <v>0.88194444444444453</v>
      </c>
      <c r="E15" s="615">
        <v>0.92222222222222217</v>
      </c>
      <c r="F15" s="614">
        <f t="shared" si="1"/>
        <v>3000</v>
      </c>
      <c r="G15" s="616">
        <f t="shared" si="2"/>
        <v>174000</v>
      </c>
      <c r="H15" s="617" t="str">
        <f t="shared" si="3"/>
        <v>NÓN</v>
      </c>
      <c r="I15" s="618">
        <f t="shared" si="4"/>
        <v>58</v>
      </c>
    </row>
    <row r="16" spans="1:9">
      <c r="B16" s="619"/>
    </row>
    <row r="17" spans="1:9">
      <c r="A17" s="620" t="s">
        <v>949</v>
      </c>
      <c r="B17" s="608" t="s">
        <v>1380</v>
      </c>
      <c r="C17" s="608" t="s">
        <v>950</v>
      </c>
    </row>
    <row r="18" spans="1:9">
      <c r="A18" s="621" t="s">
        <v>951</v>
      </c>
      <c r="B18" s="622">
        <v>11</v>
      </c>
      <c r="C18" s="614">
        <f>SUMIF($B$10:$B$15,B18&amp;"*",$G$10:$G$15)</f>
        <v>178500</v>
      </c>
      <c r="D18" s="623"/>
    </row>
    <row r="19" spans="1:9">
      <c r="A19" s="621" t="s">
        <v>952</v>
      </c>
      <c r="B19" s="622">
        <v>12</v>
      </c>
      <c r="C19" s="614">
        <f>SUMIF($B$10:$B$15,B19&amp;"*",$G$10:$G$15)</f>
        <v>79200</v>
      </c>
    </row>
    <row r="20" spans="1:9" ht="31.5">
      <c r="A20" s="621" t="s">
        <v>953</v>
      </c>
      <c r="B20" s="622">
        <v>13</v>
      </c>
      <c r="C20" s="614">
        <f>SUMIF($B$10:$B$15,B20&amp;"*",$G$10:$G$15)</f>
        <v>385200</v>
      </c>
      <c r="H20" s="624" t="s">
        <v>954</v>
      </c>
      <c r="I20" s="624" t="s">
        <v>955</v>
      </c>
    </row>
    <row r="21" spans="1:9">
      <c r="A21" s="623"/>
      <c r="B21" s="619"/>
      <c r="G21" s="1179" t="s">
        <v>956</v>
      </c>
      <c r="H21" s="625" t="s">
        <v>113</v>
      </c>
      <c r="I21" s="625" t="s">
        <v>113</v>
      </c>
    </row>
    <row r="22" spans="1:9" ht="47.25" customHeight="1">
      <c r="A22" s="626"/>
      <c r="B22" s="627" t="s">
        <v>954</v>
      </c>
      <c r="C22" s="624" t="s">
        <v>957</v>
      </c>
      <c r="G22" s="1180"/>
      <c r="H22" s="625" t="b">
        <f>AND(MONTH(A10)=9,DAY(A10)&lt;5)</f>
        <v>1</v>
      </c>
      <c r="I22" s="625" t="b">
        <f>AND(OR(MONTH(A10)=9,MONTH(A10)=10),DAY(A10)&lt;=5,DAY(A10)&lt;=25)</f>
        <v>1</v>
      </c>
    </row>
    <row r="23" spans="1:9" ht="31.5" customHeight="1">
      <c r="A23" s="628" t="s">
        <v>956</v>
      </c>
      <c r="B23" s="629">
        <f>DCOUNTA($A$10:$H$15,H10,$H$21:$H$22)</f>
        <v>1</v>
      </c>
      <c r="C23" s="629">
        <f>DCOUNTA($A$10:$H$15,H10,$I$21:$I$22)</f>
        <v>2</v>
      </c>
      <c r="G23" s="1181" t="s">
        <v>958</v>
      </c>
      <c r="H23" s="625" t="s">
        <v>113</v>
      </c>
      <c r="I23" s="625" t="s">
        <v>113</v>
      </c>
    </row>
    <row r="24" spans="1:9" ht="63" customHeight="1">
      <c r="A24" s="630" t="s">
        <v>958</v>
      </c>
      <c r="B24" s="629">
        <f>DCOUNT($A$9:$H$15,,$H$23:$H$24)</f>
        <v>1</v>
      </c>
      <c r="C24" s="629">
        <f>DCOUNT($A$10:$H$15,,$I$23:$I$24)</f>
        <v>1</v>
      </c>
      <c r="G24" s="1182"/>
      <c r="H24" s="625" t="b">
        <f>AND(MONTH(A10)=9,DAY(A10)&lt;5,HOUR(E10-D10)*60+MINUTE(E10-D10)&gt;=50)</f>
        <v>1</v>
      </c>
      <c r="I24" s="625" t="b">
        <f>AND(OR(MONTH(A10)=9,MONTH(A10)=10),DAY(A10)&gt;=5,DAY(A10)&lt;=25,HOUR(E10-D10)*60+MINUTE(E10-D10)&gt;=50)</f>
        <v>0</v>
      </c>
    </row>
    <row r="26" spans="1:9">
      <c r="A26" s="631" t="s">
        <v>112</v>
      </c>
    </row>
    <row r="27" spans="1:9">
      <c r="A27" s="632" t="b">
        <f>AND(LEFT(B10,2)="13",(HOUR(E10-D10)*60+MINUTE(E10-D10))&gt;50)</f>
        <v>0</v>
      </c>
      <c r="B27" s="145"/>
      <c r="C27" s="145"/>
      <c r="D27" s="145"/>
      <c r="E27" s="145"/>
    </row>
    <row r="28" spans="1:9">
      <c r="A28" s="608" t="s">
        <v>937</v>
      </c>
      <c r="B28" s="608" t="s">
        <v>1380</v>
      </c>
      <c r="C28" s="608" t="s">
        <v>938</v>
      </c>
      <c r="D28" s="608" t="s">
        <v>939</v>
      </c>
      <c r="E28" s="608" t="s">
        <v>940</v>
      </c>
      <c r="F28" s="608" t="s">
        <v>1032</v>
      </c>
      <c r="G28" s="608" t="s">
        <v>941</v>
      </c>
      <c r="H28" s="608" t="s">
        <v>942</v>
      </c>
    </row>
    <row r="29" spans="1:9">
      <c r="A29" s="612">
        <v>38288</v>
      </c>
      <c r="B29" s="613" t="s">
        <v>948</v>
      </c>
      <c r="C29" s="614" t="s">
        <v>959</v>
      </c>
      <c r="D29" s="615">
        <v>0.88194444444444453</v>
      </c>
      <c r="E29" s="615">
        <v>0.92222222222222217</v>
      </c>
      <c r="F29" s="614">
        <v>3000</v>
      </c>
      <c r="G29" s="616">
        <v>174000</v>
      </c>
      <c r="H29" s="617" t="s">
        <v>960</v>
      </c>
    </row>
    <row r="30" spans="1:9">
      <c r="A30" s="145"/>
      <c r="B30" s="145"/>
      <c r="C30" s="145"/>
      <c r="D30" s="145"/>
      <c r="E30" s="145"/>
    </row>
    <row r="31" spans="1:9">
      <c r="A31" s="145"/>
      <c r="B31" s="145"/>
      <c r="C31" s="145"/>
      <c r="D31" s="145"/>
      <c r="E31" s="145"/>
    </row>
    <row r="32" spans="1:9">
      <c r="A32" s="145"/>
      <c r="B32" s="145"/>
      <c r="C32" s="145"/>
      <c r="D32" s="145"/>
    </row>
    <row r="33" spans="1:6">
      <c r="A33" s="145"/>
      <c r="B33" s="145"/>
      <c r="C33" s="145"/>
      <c r="D33" s="145"/>
    </row>
    <row r="34" spans="1:6">
      <c r="A34" s="145"/>
      <c r="B34" s="145"/>
      <c r="C34" s="145"/>
      <c r="D34" s="145"/>
    </row>
    <row r="35" spans="1:6">
      <c r="A35" s="145"/>
      <c r="B35" s="145"/>
      <c r="C35" s="145"/>
      <c r="D35" s="145"/>
    </row>
    <row r="36" spans="1:6">
      <c r="A36" s="145"/>
      <c r="B36" s="145"/>
      <c r="C36" s="145"/>
      <c r="D36" s="145"/>
    </row>
    <row r="37" spans="1:6">
      <c r="A37" s="145"/>
      <c r="B37" s="145"/>
      <c r="C37" s="145"/>
      <c r="D37" s="145"/>
    </row>
    <row r="38" spans="1:6">
      <c r="A38" s="145"/>
      <c r="B38" s="145"/>
      <c r="C38" s="145"/>
      <c r="D38" s="145"/>
    </row>
    <row r="39" spans="1:6">
      <c r="A39" s="145"/>
      <c r="B39" s="145"/>
      <c r="C39" s="145"/>
      <c r="D39" s="145"/>
    </row>
    <row r="40" spans="1:6">
      <c r="A40" s="145"/>
      <c r="B40" s="145"/>
      <c r="C40" s="145"/>
      <c r="D40" s="145"/>
    </row>
    <row r="41" spans="1:6">
      <c r="A41" s="145"/>
      <c r="B41" s="145"/>
      <c r="C41" s="145"/>
      <c r="D41" s="145"/>
    </row>
    <row r="42" spans="1:6">
      <c r="A42" s="145"/>
      <c r="B42" s="145"/>
      <c r="C42" s="145"/>
      <c r="D42" s="145"/>
    </row>
    <row r="43" spans="1:6">
      <c r="A43" s="145"/>
      <c r="B43" s="145"/>
      <c r="C43" s="145"/>
      <c r="D43" s="145"/>
    </row>
    <row r="44" spans="1:6">
      <c r="A44" s="145"/>
      <c r="B44" s="145"/>
      <c r="C44" s="145"/>
      <c r="D44" s="145"/>
    </row>
    <row r="45" spans="1:6">
      <c r="A45" s="145"/>
      <c r="B45" s="145"/>
      <c r="C45" s="145"/>
      <c r="D45" s="145"/>
    </row>
    <row r="46" spans="1:6">
      <c r="A46" s="145"/>
      <c r="B46" s="145"/>
      <c r="C46" s="145"/>
      <c r="D46" s="145"/>
      <c r="E46" s="611"/>
      <c r="F46" s="611"/>
    </row>
    <row r="47" spans="1:6">
      <c r="A47" s="145"/>
      <c r="B47" s="145"/>
      <c r="C47" s="145"/>
      <c r="D47" s="145"/>
      <c r="E47" s="633"/>
      <c r="F47" s="634"/>
    </row>
    <row r="48" spans="1:6">
      <c r="A48" s="145"/>
      <c r="B48" s="145"/>
      <c r="C48" s="145"/>
      <c r="D48" s="145"/>
    </row>
    <row r="49" spans="1:4">
      <c r="A49" s="145"/>
      <c r="B49" s="145"/>
      <c r="C49" s="145"/>
      <c r="D49" s="145"/>
    </row>
    <row r="50" spans="1:4">
      <c r="B50" s="635"/>
    </row>
  </sheetData>
  <mergeCells count="4">
    <mergeCell ref="A1:D1"/>
    <mergeCell ref="A5:E5"/>
    <mergeCell ref="G21:G22"/>
    <mergeCell ref="G23:G24"/>
  </mergeCells>
  <phoneticPr fontId="141" type="noConversion"/>
  <pageMargins left="0.7" right="0.7" top="0.75" bottom="0.75" header="0.3" footer="0.3"/>
  <ignoredErrors>
    <ignoredError sqref="B10:B15" numberStoredAsText="1"/>
  </ignoredErrors>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77DF1-51E5-43C1-A5AD-CF5D2D2D1ADF}">
  <dimension ref="A2:L23"/>
  <sheetViews>
    <sheetView topLeftCell="A2" workbookViewId="0">
      <selection activeCell="K2" sqref="K2"/>
    </sheetView>
  </sheetViews>
  <sheetFormatPr defaultRowHeight="15.75"/>
  <cols>
    <col min="1" max="1" width="9.140625" style="739"/>
    <col min="2" max="2" width="11.28515625" style="739" bestFit="1" customWidth="1"/>
    <col min="3" max="3" width="9.140625" style="739"/>
    <col min="4" max="4" width="16.5703125" style="739" customWidth="1"/>
    <col min="5" max="6" width="9.140625" style="739"/>
    <col min="7" max="7" width="14.42578125" style="739" customWidth="1"/>
    <col min="8" max="16384" width="9.140625" style="739"/>
  </cols>
  <sheetData>
    <row r="2" spans="1:12" ht="31.5">
      <c r="B2" s="741" t="s">
        <v>1073</v>
      </c>
      <c r="C2" s="742" t="s">
        <v>990</v>
      </c>
      <c r="D2" s="742" t="s">
        <v>1514</v>
      </c>
      <c r="E2" s="742" t="s">
        <v>1515</v>
      </c>
      <c r="F2" s="742" t="s">
        <v>1516</v>
      </c>
      <c r="G2" s="742" t="s">
        <v>1517</v>
      </c>
      <c r="H2" s="738"/>
      <c r="K2" s="886" t="s">
        <v>1991</v>
      </c>
      <c r="L2" s="145"/>
    </row>
    <row r="3" spans="1:12">
      <c r="B3" s="744">
        <v>1</v>
      </c>
      <c r="C3" s="748"/>
      <c r="D3" s="745" t="s">
        <v>1518</v>
      </c>
      <c r="E3" s="745">
        <v>22</v>
      </c>
      <c r="F3" s="749" t="str">
        <f>IF(E3&gt;=22,"A",IF(E3&gt;=20,"B",IF(E3&gt;=18,"C","D")))</f>
        <v>A</v>
      </c>
      <c r="G3" s="749">
        <f>HLOOKUP(D3,$B$19:$E$23,IF(F3="A",2,IF(F3="B",3,IF(F3="C",4,5))),0)</f>
        <v>500000</v>
      </c>
    </row>
    <row r="4" spans="1:12">
      <c r="B4" s="744">
        <v>2</v>
      </c>
      <c r="C4" s="748"/>
      <c r="D4" s="745" t="s">
        <v>1342</v>
      </c>
      <c r="E4" s="745">
        <v>21</v>
      </c>
      <c r="F4" s="749" t="str">
        <f t="shared" ref="F4:F11" si="0">IF(E4&gt;=22,"A",IF(E4&gt;=20,"B",IF(E4&gt;=18,"C","D")))</f>
        <v>B</v>
      </c>
      <c r="G4" s="749">
        <f t="shared" ref="G4:G11" si="1">HLOOKUP(D4,$B$19:$E$23,IF(F4="A",2,IF(F4="B",3,IF(F4="C",4,5))),0)</f>
        <v>150000</v>
      </c>
    </row>
    <row r="5" spans="1:12">
      <c r="B5" s="744">
        <v>3</v>
      </c>
      <c r="C5" s="748"/>
      <c r="D5" s="745" t="s">
        <v>1519</v>
      </c>
      <c r="E5" s="745">
        <v>20</v>
      </c>
      <c r="F5" s="749" t="str">
        <f t="shared" si="0"/>
        <v>B</v>
      </c>
      <c r="G5" s="749">
        <f t="shared" si="1"/>
        <v>200000</v>
      </c>
    </row>
    <row r="6" spans="1:12">
      <c r="B6" s="744">
        <v>4</v>
      </c>
      <c r="C6" s="748"/>
      <c r="D6" s="745" t="s">
        <v>1518</v>
      </c>
      <c r="E6" s="745">
        <v>20</v>
      </c>
      <c r="F6" s="749" t="str">
        <f t="shared" si="0"/>
        <v>B</v>
      </c>
      <c r="G6" s="749">
        <f t="shared" si="1"/>
        <v>300000</v>
      </c>
    </row>
    <row r="7" spans="1:12">
      <c r="B7" s="744">
        <v>5</v>
      </c>
      <c r="C7" s="748"/>
      <c r="D7" s="745" t="s">
        <v>1342</v>
      </c>
      <c r="E7" s="745">
        <v>21</v>
      </c>
      <c r="F7" s="749" t="str">
        <f t="shared" si="0"/>
        <v>B</v>
      </c>
      <c r="G7" s="749">
        <f t="shared" si="1"/>
        <v>150000</v>
      </c>
    </row>
    <row r="8" spans="1:12">
      <c r="B8" s="744">
        <v>6</v>
      </c>
      <c r="C8" s="748"/>
      <c r="D8" s="745" t="s">
        <v>1519</v>
      </c>
      <c r="E8" s="745">
        <v>22</v>
      </c>
      <c r="F8" s="749" t="str">
        <f t="shared" si="0"/>
        <v>A</v>
      </c>
      <c r="G8" s="749">
        <f t="shared" si="1"/>
        <v>400000</v>
      </c>
    </row>
    <row r="9" spans="1:12">
      <c r="B9" s="744">
        <v>7</v>
      </c>
      <c r="C9" s="748"/>
      <c r="D9" s="745" t="s">
        <v>1519</v>
      </c>
      <c r="E9" s="745">
        <v>19</v>
      </c>
      <c r="F9" s="749" t="str">
        <f t="shared" si="0"/>
        <v>C</v>
      </c>
      <c r="G9" s="749">
        <f t="shared" si="1"/>
        <v>0</v>
      </c>
    </row>
    <row r="10" spans="1:12">
      <c r="B10" s="744">
        <v>8</v>
      </c>
      <c r="C10" s="748"/>
      <c r="D10" s="745" t="s">
        <v>1342</v>
      </c>
      <c r="E10" s="745">
        <v>18</v>
      </c>
      <c r="F10" s="749" t="str">
        <f t="shared" si="0"/>
        <v>C</v>
      </c>
      <c r="G10" s="749">
        <f t="shared" si="1"/>
        <v>0</v>
      </c>
    </row>
    <row r="11" spans="1:12">
      <c r="B11" s="744">
        <v>9</v>
      </c>
      <c r="C11" s="748"/>
      <c r="D11" s="745" t="s">
        <v>1519</v>
      </c>
      <c r="E11" s="745">
        <v>22</v>
      </c>
      <c r="F11" s="749" t="str">
        <f t="shared" si="0"/>
        <v>A</v>
      </c>
      <c r="G11" s="749">
        <f t="shared" si="1"/>
        <v>400000</v>
      </c>
    </row>
    <row r="12" spans="1:12">
      <c r="A12" s="747" t="s">
        <v>1221</v>
      </c>
      <c r="B12" s="729"/>
      <c r="C12" s="729"/>
      <c r="D12" s="729"/>
      <c r="E12" s="729"/>
      <c r="F12" s="729"/>
      <c r="G12" s="729"/>
    </row>
    <row r="13" spans="1:12">
      <c r="A13" s="729" t="s">
        <v>1520</v>
      </c>
      <c r="B13" s="729"/>
      <c r="C13" s="729"/>
      <c r="D13" s="729"/>
      <c r="E13" s="729"/>
      <c r="F13" s="729"/>
      <c r="G13" s="729"/>
    </row>
    <row r="14" spans="1:12">
      <c r="A14" s="729"/>
      <c r="B14" s="729" t="s">
        <v>1521</v>
      </c>
      <c r="C14" s="729"/>
      <c r="D14" s="729"/>
      <c r="E14" s="729"/>
      <c r="F14" s="729"/>
      <c r="G14" s="729"/>
    </row>
    <row r="15" spans="1:12">
      <c r="A15" s="729"/>
      <c r="B15" s="729" t="s">
        <v>1522</v>
      </c>
      <c r="C15" s="729"/>
      <c r="D15" s="729"/>
      <c r="E15" s="729"/>
      <c r="F15" s="729"/>
      <c r="G15" s="729"/>
    </row>
    <row r="16" spans="1:12">
      <c r="A16" s="729"/>
      <c r="B16" s="729" t="s">
        <v>1523</v>
      </c>
      <c r="C16" s="729"/>
      <c r="D16" s="729"/>
      <c r="E16" s="729"/>
      <c r="F16" s="729"/>
      <c r="G16" s="729"/>
    </row>
    <row r="17" spans="1:7">
      <c r="A17" s="729"/>
      <c r="B17" s="729" t="s">
        <v>1524</v>
      </c>
      <c r="C17" s="729"/>
      <c r="D17" s="729"/>
      <c r="E17" s="729"/>
      <c r="F17" s="729"/>
      <c r="G17" s="729"/>
    </row>
    <row r="18" spans="1:7">
      <c r="A18" s="729" t="s">
        <v>1525</v>
      </c>
      <c r="B18" s="729"/>
      <c r="C18" s="729"/>
      <c r="D18" s="729"/>
      <c r="E18" s="729"/>
      <c r="F18" s="729"/>
      <c r="G18" s="729"/>
    </row>
    <row r="19" spans="1:7">
      <c r="B19" s="743"/>
      <c r="C19" s="743" t="s">
        <v>1518</v>
      </c>
      <c r="D19" s="743" t="s">
        <v>1519</v>
      </c>
      <c r="E19" s="743" t="s">
        <v>1342</v>
      </c>
    </row>
    <row r="20" spans="1:7">
      <c r="B20" s="743" t="s">
        <v>1139</v>
      </c>
      <c r="C20" s="745">
        <v>500000</v>
      </c>
      <c r="D20" s="745">
        <v>400000</v>
      </c>
      <c r="E20" s="745">
        <v>300000</v>
      </c>
    </row>
    <row r="21" spans="1:7">
      <c r="B21" s="743" t="s">
        <v>1140</v>
      </c>
      <c r="C21" s="745">
        <v>300000</v>
      </c>
      <c r="D21" s="745">
        <v>200000</v>
      </c>
      <c r="E21" s="745">
        <v>150000</v>
      </c>
    </row>
    <row r="22" spans="1:7">
      <c r="B22" s="743" t="s">
        <v>1141</v>
      </c>
      <c r="C22" s="745">
        <v>100000</v>
      </c>
      <c r="D22" s="745">
        <v>0</v>
      </c>
      <c r="E22" s="745">
        <v>0</v>
      </c>
    </row>
    <row r="23" spans="1:7">
      <c r="B23" s="743" t="s">
        <v>1218</v>
      </c>
      <c r="C23" s="745">
        <v>0</v>
      </c>
      <c r="D23" s="745">
        <v>0</v>
      </c>
      <c r="E23" s="745">
        <v>0</v>
      </c>
    </row>
  </sheetData>
  <phoneticPr fontId="178" type="noConversion"/>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CF9B-DED7-45C9-A7C3-8657377B32C4}">
  <dimension ref="A1:R27"/>
  <sheetViews>
    <sheetView workbookViewId="0">
      <selection activeCell="N5" sqref="N5"/>
    </sheetView>
  </sheetViews>
  <sheetFormatPr defaultRowHeight="15.75"/>
  <cols>
    <col min="1" max="1" width="5.28515625" style="739" customWidth="1"/>
    <col min="2" max="2" width="9.140625" style="739"/>
    <col min="3" max="3" width="11.28515625" style="739" bestFit="1" customWidth="1"/>
    <col min="4" max="10" width="9.140625" style="739"/>
    <col min="11" max="11" width="11.28515625" style="739" bestFit="1" customWidth="1"/>
    <col min="12" max="16384" width="9.140625" style="739"/>
  </cols>
  <sheetData>
    <row r="1" spans="1:18" ht="18.75" customHeight="1">
      <c r="A1" s="1183" t="s">
        <v>1914</v>
      </c>
      <c r="B1" s="1183"/>
      <c r="C1" s="1183"/>
      <c r="D1" s="1183"/>
      <c r="E1" s="1183"/>
      <c r="F1" s="1183"/>
      <c r="G1" s="1183"/>
      <c r="H1" s="1183"/>
      <c r="I1" s="1183"/>
      <c r="J1" s="1183"/>
      <c r="K1" s="1183"/>
      <c r="L1" s="1183"/>
    </row>
    <row r="2" spans="1:18" ht="32.25" customHeight="1">
      <c r="A2" s="1187" t="s">
        <v>1073</v>
      </c>
      <c r="B2" s="1187" t="s">
        <v>990</v>
      </c>
      <c r="C2" s="1187" t="s">
        <v>1526</v>
      </c>
      <c r="D2" s="1187" t="s">
        <v>1527</v>
      </c>
      <c r="E2" s="1184" t="s">
        <v>1553</v>
      </c>
      <c r="F2" s="1185"/>
      <c r="G2" s="1185"/>
      <c r="H2" s="1185"/>
      <c r="I2" s="1185"/>
      <c r="J2" s="1185"/>
      <c r="K2" s="1186"/>
      <c r="L2" s="1187" t="s">
        <v>1502</v>
      </c>
    </row>
    <row r="3" spans="1:18">
      <c r="A3" s="1188"/>
      <c r="B3" s="1188"/>
      <c r="C3" s="1188"/>
      <c r="D3" s="1188"/>
      <c r="E3" s="743" t="s">
        <v>191</v>
      </c>
      <c r="F3" s="743" t="s">
        <v>1528</v>
      </c>
      <c r="G3" s="743" t="s">
        <v>1529</v>
      </c>
      <c r="H3" s="743" t="s">
        <v>1530</v>
      </c>
      <c r="I3" s="743" t="s">
        <v>1531</v>
      </c>
      <c r="J3" s="743" t="s">
        <v>1532</v>
      </c>
      <c r="K3" s="743" t="s">
        <v>56</v>
      </c>
      <c r="L3" s="1188"/>
    </row>
    <row r="4" spans="1:18">
      <c r="A4" s="744">
        <v>1</v>
      </c>
      <c r="B4" s="745" t="s">
        <v>1533</v>
      </c>
      <c r="C4" s="750">
        <v>38482</v>
      </c>
      <c r="D4" s="745" t="s">
        <v>1537</v>
      </c>
      <c r="E4" s="746">
        <f>INT((DATE(2005,5,20)-C4)/7)</f>
        <v>1</v>
      </c>
      <c r="F4" s="746">
        <f>VLOOKUP(VALUE(LEFT(D4,1)),$C$17:$E$19,2,0)</f>
        <v>400</v>
      </c>
      <c r="G4" s="746">
        <f>E4*F4</f>
        <v>400</v>
      </c>
      <c r="H4" s="746">
        <f>MOD(DAY(DATE(2005,5,20)-DAY(C4)),7)</f>
        <v>3</v>
      </c>
      <c r="I4" s="746">
        <f>VLOOKUP(VALUE(LEFT(D4,1)),$C$17:$E$19,3,0)</f>
        <v>70</v>
      </c>
      <c r="J4" s="746">
        <f>H4*I4</f>
        <v>210</v>
      </c>
      <c r="K4" s="746">
        <f>(DATE(2005,5,20)-C4)*HLOOKUP(RIGHT(D4,1),$C$25:$E$26,2,0)</f>
        <v>150</v>
      </c>
      <c r="L4" s="746">
        <f>G4+J4+K4</f>
        <v>760</v>
      </c>
    </row>
    <row r="5" spans="1:18">
      <c r="A5" s="744">
        <v>2</v>
      </c>
      <c r="B5" s="745" t="s">
        <v>1295</v>
      </c>
      <c r="C5" s="750">
        <v>38479</v>
      </c>
      <c r="D5" s="745" t="s">
        <v>1538</v>
      </c>
      <c r="E5" s="746">
        <f t="shared" ref="E5:E11" si="0">INT((DATE(2005,5,20)-C5)/7)</f>
        <v>1</v>
      </c>
      <c r="F5" s="746">
        <f t="shared" ref="F5:F11" si="1">VLOOKUP(VALUE(LEFT(D5,1)),$C$17:$E$19,2,0)</f>
        <v>280</v>
      </c>
      <c r="G5" s="746">
        <f t="shared" ref="G5:G10" si="2">E5*F5</f>
        <v>280</v>
      </c>
      <c r="H5" s="746">
        <f t="shared" ref="H5:H11" si="3">MOD(DAY(DATE(2005,5,20)-DAY(C5)),7)</f>
        <v>6</v>
      </c>
      <c r="I5" s="746">
        <f t="shared" ref="I5:I11" si="4">VLOOKUP(VALUE(LEFT(D5,1)),$C$17:$E$19,3,0)</f>
        <v>50</v>
      </c>
      <c r="J5" s="746">
        <f t="shared" ref="J5:J11" si="5">H5*I5</f>
        <v>300</v>
      </c>
      <c r="K5" s="746">
        <f t="shared" ref="K5:K11" si="6">(DATE(2005,5,20)-C5)*HLOOKUP(RIGHT(D5,1),$C$25:$E$26,2,0)</f>
        <v>130</v>
      </c>
      <c r="L5" s="746">
        <f t="shared" ref="L5:L11" si="7">G5+J5+K5</f>
        <v>710</v>
      </c>
      <c r="N5" s="739" t="s">
        <v>1991</v>
      </c>
    </row>
    <row r="6" spans="1:18">
      <c r="A6" s="744">
        <v>3</v>
      </c>
      <c r="B6" s="745" t="s">
        <v>453</v>
      </c>
      <c r="C6" s="750">
        <v>38475</v>
      </c>
      <c r="D6" s="745" t="s">
        <v>1539</v>
      </c>
      <c r="E6" s="746">
        <f t="shared" si="0"/>
        <v>2</v>
      </c>
      <c r="F6" s="746">
        <f t="shared" si="1"/>
        <v>400</v>
      </c>
      <c r="G6" s="746">
        <f t="shared" si="2"/>
        <v>800</v>
      </c>
      <c r="H6" s="746">
        <f t="shared" si="3"/>
        <v>3</v>
      </c>
      <c r="I6" s="746">
        <f t="shared" si="4"/>
        <v>70</v>
      </c>
      <c r="J6" s="746">
        <f t="shared" si="5"/>
        <v>210</v>
      </c>
      <c r="K6" s="746">
        <f t="shared" si="6"/>
        <v>85</v>
      </c>
      <c r="L6" s="746">
        <f t="shared" si="7"/>
        <v>1095</v>
      </c>
    </row>
    <row r="7" spans="1:18">
      <c r="A7" s="744">
        <v>4</v>
      </c>
      <c r="B7" s="745" t="s">
        <v>1534</v>
      </c>
      <c r="C7" s="750">
        <v>38479</v>
      </c>
      <c r="D7" s="745" t="s">
        <v>1540</v>
      </c>
      <c r="E7" s="746">
        <f t="shared" si="0"/>
        <v>1</v>
      </c>
      <c r="F7" s="746">
        <f t="shared" si="1"/>
        <v>200</v>
      </c>
      <c r="G7" s="746">
        <f t="shared" si="2"/>
        <v>200</v>
      </c>
      <c r="H7" s="746">
        <f t="shared" si="3"/>
        <v>6</v>
      </c>
      <c r="I7" s="746">
        <f t="shared" si="4"/>
        <v>35</v>
      </c>
      <c r="J7" s="746">
        <f t="shared" si="5"/>
        <v>210</v>
      </c>
      <c r="K7" s="746">
        <f t="shared" si="6"/>
        <v>130</v>
      </c>
      <c r="L7" s="746">
        <f t="shared" si="7"/>
        <v>540</v>
      </c>
    </row>
    <row r="8" spans="1:18">
      <c r="A8" s="744">
        <v>5</v>
      </c>
      <c r="B8" s="745" t="s">
        <v>1978</v>
      </c>
      <c r="C8" s="750">
        <v>38481</v>
      </c>
      <c r="D8" s="745" t="s">
        <v>1541</v>
      </c>
      <c r="E8" s="746">
        <f t="shared" si="0"/>
        <v>1</v>
      </c>
      <c r="F8" s="746">
        <f t="shared" si="1"/>
        <v>400</v>
      </c>
      <c r="G8" s="746">
        <f t="shared" si="2"/>
        <v>400</v>
      </c>
      <c r="H8" s="746">
        <f t="shared" si="3"/>
        <v>4</v>
      </c>
      <c r="I8" s="746">
        <f t="shared" si="4"/>
        <v>70</v>
      </c>
      <c r="J8" s="746">
        <f t="shared" si="5"/>
        <v>280</v>
      </c>
      <c r="K8" s="746">
        <f t="shared" si="6"/>
        <v>55</v>
      </c>
      <c r="L8" s="746">
        <f t="shared" si="7"/>
        <v>735</v>
      </c>
    </row>
    <row r="9" spans="1:18">
      <c r="A9" s="744">
        <v>6</v>
      </c>
      <c r="B9" s="745" t="s">
        <v>1924</v>
      </c>
      <c r="C9" s="750">
        <v>38488</v>
      </c>
      <c r="D9" s="745" t="s">
        <v>1542</v>
      </c>
      <c r="E9" s="746">
        <f t="shared" si="0"/>
        <v>0</v>
      </c>
      <c r="F9" s="746">
        <f t="shared" si="1"/>
        <v>280</v>
      </c>
      <c r="G9" s="746">
        <f t="shared" si="2"/>
        <v>0</v>
      </c>
      <c r="H9" s="746">
        <f t="shared" si="3"/>
        <v>4</v>
      </c>
      <c r="I9" s="746">
        <f t="shared" si="4"/>
        <v>50</v>
      </c>
      <c r="J9" s="746">
        <f t="shared" si="5"/>
        <v>200</v>
      </c>
      <c r="K9" s="746">
        <f t="shared" si="6"/>
        <v>60</v>
      </c>
      <c r="L9" s="746">
        <f t="shared" si="7"/>
        <v>260</v>
      </c>
    </row>
    <row r="10" spans="1:18">
      <c r="A10" s="744">
        <v>7</v>
      </c>
      <c r="B10" s="745" t="s">
        <v>1535</v>
      </c>
      <c r="C10" s="750">
        <v>38486</v>
      </c>
      <c r="D10" s="745" t="s">
        <v>1543</v>
      </c>
      <c r="E10" s="746">
        <f t="shared" si="0"/>
        <v>0</v>
      </c>
      <c r="F10" s="746">
        <f t="shared" si="1"/>
        <v>400</v>
      </c>
      <c r="G10" s="746">
        <f t="shared" si="2"/>
        <v>0</v>
      </c>
      <c r="H10" s="746">
        <f t="shared" si="3"/>
        <v>6</v>
      </c>
      <c r="I10" s="746">
        <f t="shared" si="4"/>
        <v>70</v>
      </c>
      <c r="J10" s="746">
        <f t="shared" si="5"/>
        <v>420</v>
      </c>
      <c r="K10" s="746">
        <f t="shared" si="6"/>
        <v>30</v>
      </c>
      <c r="L10" s="746">
        <f t="shared" si="7"/>
        <v>450</v>
      </c>
    </row>
    <row r="11" spans="1:18">
      <c r="A11" s="744">
        <v>8</v>
      </c>
      <c r="B11" s="745" t="s">
        <v>1536</v>
      </c>
      <c r="C11" s="750">
        <v>38479</v>
      </c>
      <c r="D11" s="745" t="s">
        <v>1544</v>
      </c>
      <c r="E11" s="746">
        <f t="shared" si="0"/>
        <v>1</v>
      </c>
      <c r="F11" s="746">
        <f t="shared" si="1"/>
        <v>200</v>
      </c>
      <c r="G11" s="746">
        <f>E11*F11</f>
        <v>200</v>
      </c>
      <c r="H11" s="746">
        <f t="shared" si="3"/>
        <v>6</v>
      </c>
      <c r="I11" s="746">
        <f t="shared" si="4"/>
        <v>35</v>
      </c>
      <c r="J11" s="746">
        <f t="shared" si="5"/>
        <v>210</v>
      </c>
      <c r="K11" s="746">
        <f t="shared" si="6"/>
        <v>65</v>
      </c>
      <c r="L11" s="746">
        <f t="shared" si="7"/>
        <v>475</v>
      </c>
    </row>
    <row r="12" spans="1:18">
      <c r="A12" s="747" t="s">
        <v>1221</v>
      </c>
      <c r="B12" s="729"/>
    </row>
    <row r="13" spans="1:18">
      <c r="A13" s="729" t="s">
        <v>1545</v>
      </c>
      <c r="B13" s="729"/>
      <c r="C13" s="729"/>
      <c r="D13" s="729"/>
      <c r="E13" s="729"/>
      <c r="F13" s="729"/>
      <c r="G13" s="729"/>
      <c r="H13" s="729"/>
      <c r="I13" s="729"/>
      <c r="J13" s="729"/>
      <c r="K13" s="729"/>
      <c r="L13" s="729"/>
      <c r="M13" s="729"/>
      <c r="N13" s="729"/>
      <c r="O13" s="729"/>
      <c r="P13" s="729"/>
      <c r="Q13" s="729"/>
      <c r="R13" s="729"/>
    </row>
    <row r="14" spans="1:18">
      <c r="A14" s="729" t="s">
        <v>1546</v>
      </c>
      <c r="B14" s="729"/>
      <c r="C14" s="729"/>
      <c r="D14" s="729"/>
      <c r="E14" s="729"/>
      <c r="F14" s="729"/>
      <c r="G14" s="729"/>
      <c r="H14" s="729"/>
      <c r="I14" s="729"/>
      <c r="J14" s="729"/>
      <c r="K14" s="729"/>
      <c r="L14" s="729"/>
      <c r="M14" s="729"/>
      <c r="N14" s="729"/>
      <c r="O14" s="729"/>
      <c r="P14" s="729"/>
      <c r="Q14" s="729"/>
      <c r="R14" s="729"/>
    </row>
    <row r="15" spans="1:18">
      <c r="A15" s="729"/>
      <c r="B15" s="729" t="s">
        <v>1547</v>
      </c>
      <c r="C15" s="729"/>
      <c r="D15" s="729"/>
      <c r="E15" s="729"/>
      <c r="F15" s="729"/>
      <c r="G15" s="729"/>
      <c r="H15" s="729"/>
      <c r="I15" s="729"/>
      <c r="J15" s="729"/>
      <c r="K15" s="729"/>
      <c r="L15" s="729"/>
      <c r="M15" s="729"/>
      <c r="N15" s="729"/>
      <c r="O15" s="729"/>
      <c r="P15" s="729"/>
      <c r="Q15" s="729"/>
      <c r="R15" s="729"/>
    </row>
    <row r="16" spans="1:18">
      <c r="A16" s="729"/>
      <c r="B16" s="729"/>
      <c r="C16" s="743" t="s">
        <v>1940</v>
      </c>
      <c r="D16" s="743" t="s">
        <v>1548</v>
      </c>
      <c r="E16" s="743" t="s">
        <v>1549</v>
      </c>
      <c r="F16" s="729"/>
      <c r="G16" s="729"/>
      <c r="H16" s="729"/>
      <c r="I16" s="729"/>
      <c r="J16" s="729"/>
      <c r="K16" s="729"/>
      <c r="L16" s="729"/>
      <c r="M16" s="729"/>
      <c r="N16" s="729"/>
      <c r="O16" s="729"/>
      <c r="P16" s="729"/>
      <c r="Q16" s="729"/>
      <c r="R16" s="729"/>
    </row>
    <row r="17" spans="1:18">
      <c r="A17" s="729"/>
      <c r="B17" s="729"/>
      <c r="C17" s="745">
        <v>1</v>
      </c>
      <c r="D17" s="745">
        <v>400</v>
      </c>
      <c r="E17" s="745">
        <v>70</v>
      </c>
      <c r="F17" s="729"/>
      <c r="G17" s="729"/>
      <c r="H17" s="729"/>
      <c r="I17" s="729"/>
      <c r="J17" s="729"/>
      <c r="K17" s="729"/>
      <c r="L17" s="729"/>
      <c r="M17" s="729"/>
      <c r="N17" s="729"/>
      <c r="O17" s="729"/>
      <c r="P17" s="729"/>
      <c r="Q17" s="729"/>
      <c r="R17" s="729"/>
    </row>
    <row r="18" spans="1:18">
      <c r="A18" s="729"/>
      <c r="B18" s="729"/>
      <c r="C18" s="745">
        <v>2</v>
      </c>
      <c r="D18" s="745">
        <v>280</v>
      </c>
      <c r="E18" s="745">
        <v>50</v>
      </c>
      <c r="F18" s="729"/>
      <c r="G18" s="729"/>
      <c r="H18" s="729"/>
      <c r="I18" s="729"/>
      <c r="J18" s="729"/>
      <c r="K18" s="729"/>
      <c r="L18" s="729"/>
      <c r="M18" s="729"/>
      <c r="N18" s="729"/>
      <c r="O18" s="729"/>
      <c r="P18" s="729"/>
      <c r="Q18" s="729"/>
      <c r="R18" s="729"/>
    </row>
    <row r="19" spans="1:18">
      <c r="A19" s="729"/>
      <c r="B19" s="729"/>
      <c r="C19" s="745">
        <v>3</v>
      </c>
      <c r="D19" s="745">
        <v>200</v>
      </c>
      <c r="E19" s="745">
        <v>35</v>
      </c>
      <c r="F19" s="729"/>
      <c r="G19" s="729"/>
      <c r="H19" s="729"/>
      <c r="I19" s="729"/>
      <c r="J19" s="729"/>
      <c r="K19" s="729"/>
      <c r="L19" s="729"/>
      <c r="M19" s="729"/>
      <c r="N19" s="729"/>
      <c r="O19" s="729"/>
      <c r="P19" s="729"/>
      <c r="Q19" s="729"/>
      <c r="R19" s="729"/>
    </row>
    <row r="20" spans="1:18">
      <c r="A20" s="729" t="s">
        <v>1499</v>
      </c>
      <c r="B20" s="729"/>
      <c r="C20" s="729"/>
      <c r="D20" s="729"/>
      <c r="E20" s="729"/>
      <c r="F20" s="729"/>
      <c r="G20" s="729"/>
      <c r="H20" s="729"/>
      <c r="I20" s="729"/>
      <c r="J20" s="729"/>
      <c r="K20" s="729"/>
      <c r="L20" s="729"/>
      <c r="M20" s="729"/>
      <c r="N20" s="729"/>
      <c r="O20" s="729"/>
      <c r="P20" s="729"/>
      <c r="Q20" s="729"/>
      <c r="R20" s="729"/>
    </row>
    <row r="21" spans="1:18">
      <c r="A21" s="729" t="s">
        <v>1550</v>
      </c>
      <c r="B21" s="729"/>
      <c r="C21" s="729"/>
      <c r="D21" s="729"/>
      <c r="E21" s="729"/>
      <c r="F21" s="729"/>
      <c r="G21" s="729"/>
      <c r="H21" s="729"/>
      <c r="I21" s="729"/>
      <c r="J21" s="729"/>
      <c r="K21" s="729"/>
      <c r="L21" s="729"/>
      <c r="M21" s="729"/>
      <c r="N21" s="729"/>
      <c r="O21" s="729"/>
      <c r="P21" s="729"/>
      <c r="Q21" s="729"/>
      <c r="R21" s="729"/>
    </row>
    <row r="22" spans="1:18">
      <c r="A22" s="729" t="s">
        <v>1551</v>
      </c>
      <c r="B22" s="729"/>
      <c r="C22" s="729"/>
      <c r="D22" s="729"/>
      <c r="E22" s="729"/>
      <c r="F22" s="729"/>
      <c r="G22" s="729"/>
      <c r="H22" s="729"/>
      <c r="I22" s="729"/>
      <c r="J22" s="729"/>
      <c r="K22" s="729"/>
      <c r="L22" s="729"/>
      <c r="M22" s="729"/>
      <c r="N22" s="729"/>
      <c r="O22" s="729"/>
      <c r="P22" s="729"/>
      <c r="Q22" s="729"/>
      <c r="R22" s="729"/>
    </row>
    <row r="23" spans="1:18">
      <c r="A23" s="729" t="s">
        <v>1500</v>
      </c>
      <c r="B23" s="729"/>
      <c r="C23" s="729"/>
      <c r="D23" s="729"/>
      <c r="E23" s="729"/>
      <c r="F23" s="729"/>
      <c r="G23" s="729"/>
      <c r="H23" s="729"/>
      <c r="I23" s="729"/>
      <c r="J23" s="729"/>
      <c r="K23" s="729"/>
      <c r="L23" s="729"/>
      <c r="M23" s="729"/>
      <c r="N23" s="729"/>
      <c r="O23" s="729"/>
      <c r="P23" s="729"/>
      <c r="Q23" s="729"/>
      <c r="R23" s="729"/>
    </row>
    <row r="24" spans="1:18">
      <c r="A24" s="729" t="s">
        <v>1552</v>
      </c>
      <c r="B24" s="729"/>
      <c r="C24" s="729"/>
      <c r="D24" s="729"/>
      <c r="E24" s="729"/>
      <c r="F24" s="729"/>
      <c r="G24" s="729"/>
      <c r="H24" s="729"/>
      <c r="I24" s="729"/>
      <c r="J24" s="729"/>
      <c r="K24" s="729"/>
      <c r="L24" s="729"/>
      <c r="M24" s="729"/>
      <c r="N24" s="729"/>
      <c r="O24" s="729"/>
      <c r="P24" s="729"/>
      <c r="Q24" s="729"/>
      <c r="R24" s="729"/>
    </row>
    <row r="25" spans="1:18">
      <c r="A25" s="729"/>
      <c r="B25" s="729"/>
      <c r="C25" s="743" t="s">
        <v>1139</v>
      </c>
      <c r="D25" s="743" t="s">
        <v>1140</v>
      </c>
      <c r="E25" s="743" t="s">
        <v>1141</v>
      </c>
      <c r="F25" s="729"/>
      <c r="G25" s="729"/>
      <c r="H25" s="729"/>
      <c r="I25" s="729"/>
      <c r="J25" s="729"/>
      <c r="K25" s="729"/>
      <c r="L25" s="729"/>
      <c r="M25" s="729"/>
      <c r="N25" s="729"/>
      <c r="O25" s="729"/>
      <c r="P25" s="729"/>
      <c r="Q25" s="729"/>
      <c r="R25" s="729"/>
    </row>
    <row r="26" spans="1:18">
      <c r="A26" s="729"/>
      <c r="B26" s="729"/>
      <c r="C26" s="751">
        <v>15</v>
      </c>
      <c r="D26" s="751">
        <v>10</v>
      </c>
      <c r="E26" s="751">
        <v>5</v>
      </c>
      <c r="F26" s="729"/>
      <c r="G26" s="729"/>
      <c r="H26" s="729"/>
      <c r="I26" s="729"/>
      <c r="J26" s="729"/>
      <c r="K26" s="729"/>
      <c r="L26" s="729"/>
      <c r="M26" s="729"/>
      <c r="N26" s="729"/>
      <c r="O26" s="729"/>
      <c r="P26" s="729"/>
      <c r="Q26" s="729"/>
      <c r="R26" s="729"/>
    </row>
    <row r="27" spans="1:18">
      <c r="A27" s="729" t="s">
        <v>1501</v>
      </c>
      <c r="B27" s="729"/>
      <c r="C27" s="729"/>
      <c r="D27" s="729"/>
      <c r="E27" s="729"/>
      <c r="F27" s="729"/>
      <c r="G27" s="729"/>
      <c r="H27" s="729"/>
      <c r="I27" s="729"/>
      <c r="J27" s="729"/>
      <c r="K27" s="729"/>
      <c r="L27" s="729"/>
      <c r="M27" s="729"/>
      <c r="N27" s="729"/>
      <c r="O27" s="729"/>
      <c r="P27" s="729"/>
      <c r="Q27" s="729"/>
      <c r="R27" s="729"/>
    </row>
  </sheetData>
  <mergeCells count="7">
    <mergeCell ref="A1:L1"/>
    <mergeCell ref="E2:K2"/>
    <mergeCell ref="L2:L3"/>
    <mergeCell ref="D2:D3"/>
    <mergeCell ref="C2:C3"/>
    <mergeCell ref="B2:B3"/>
    <mergeCell ref="A2:A3"/>
  </mergeCells>
  <phoneticPr fontId="178"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3FF38-046B-4F8A-8D55-92457D385E4C}">
  <dimension ref="A1:O29"/>
  <sheetViews>
    <sheetView workbookViewId="0">
      <selection activeCell="N1" sqref="N1"/>
    </sheetView>
  </sheetViews>
  <sheetFormatPr defaultRowHeight="15.75"/>
  <cols>
    <col min="1" max="7" width="9.140625" style="739"/>
    <col min="8" max="8" width="13.140625" style="739" customWidth="1"/>
    <col min="9" max="16384" width="9.140625" style="739"/>
  </cols>
  <sheetData>
    <row r="1" spans="1:15">
      <c r="A1" s="1189" t="s">
        <v>1073</v>
      </c>
      <c r="B1" s="1189" t="s">
        <v>990</v>
      </c>
      <c r="C1" s="1189" t="s">
        <v>1554</v>
      </c>
      <c r="D1" s="1191" t="s">
        <v>1555</v>
      </c>
      <c r="E1" s="1192"/>
      <c r="F1" s="1192"/>
      <c r="G1" s="1193"/>
      <c r="H1" s="1189" t="s">
        <v>1560</v>
      </c>
      <c r="I1" s="1189" t="s">
        <v>1561</v>
      </c>
      <c r="N1" s="886" t="s">
        <v>1991</v>
      </c>
      <c r="O1" s="145"/>
    </row>
    <row r="2" spans="1:15" ht="31.5">
      <c r="A2" s="1190"/>
      <c r="B2" s="1190"/>
      <c r="C2" s="1190"/>
      <c r="D2" s="784" t="s">
        <v>1556</v>
      </c>
      <c r="E2" s="784" t="s">
        <v>1557</v>
      </c>
      <c r="F2" s="784" t="s">
        <v>1558</v>
      </c>
      <c r="G2" s="785" t="s">
        <v>1559</v>
      </c>
      <c r="H2" s="1190"/>
      <c r="I2" s="1190"/>
    </row>
    <row r="3" spans="1:15">
      <c r="A3" s="745" t="s">
        <v>1562</v>
      </c>
      <c r="B3" s="746" t="s">
        <v>1139</v>
      </c>
      <c r="C3" s="746">
        <f t="shared" ref="C3:C8" si="0">VALUE(MID(A3,2,1))</f>
        <v>2</v>
      </c>
      <c r="D3" s="745">
        <v>8</v>
      </c>
      <c r="E3" s="745">
        <v>7</v>
      </c>
      <c r="F3" s="745">
        <v>6</v>
      </c>
      <c r="G3" s="746">
        <f t="shared" ref="G3:G8" si="1">D3+E3+F3+IF(C3=1,1,IF(C3=2,0.5,0))</f>
        <v>21.5</v>
      </c>
      <c r="H3" s="746" t="str">
        <f t="shared" ref="H3:H8" si="2">IF(AND(G3&gt;=24,MIN(D3:F3)&gt;=8),"A",IF(OR(AND(G3&gt;=24,MIN(D3:F3)&gt;=6),AND(G3&gt;=22,MIN(D3:F3)&gt;=6,C3=1)),"B","C"))</f>
        <v>C</v>
      </c>
      <c r="I3" s="746">
        <f t="shared" ref="I3:I8" si="3">VLOOKUP(H3,$C$11:$E$13,2,0)</f>
        <v>0</v>
      </c>
    </row>
    <row r="4" spans="1:15">
      <c r="A4" s="745" t="s">
        <v>1563</v>
      </c>
      <c r="B4" s="746" t="s">
        <v>1574</v>
      </c>
      <c r="C4" s="746">
        <f t="shared" si="0"/>
        <v>2</v>
      </c>
      <c r="D4" s="745">
        <v>7</v>
      </c>
      <c r="E4" s="745">
        <v>8</v>
      </c>
      <c r="F4" s="745">
        <v>9</v>
      </c>
      <c r="G4" s="746">
        <f t="shared" si="1"/>
        <v>24.5</v>
      </c>
      <c r="H4" s="746" t="str">
        <f t="shared" si="2"/>
        <v>B</v>
      </c>
      <c r="I4" s="746">
        <f t="shared" si="3"/>
        <v>100000</v>
      </c>
    </row>
    <row r="5" spans="1:15">
      <c r="A5" s="745" t="s">
        <v>1564</v>
      </c>
      <c r="B5" s="746" t="s">
        <v>1141</v>
      </c>
      <c r="C5" s="746">
        <f t="shared" si="0"/>
        <v>1</v>
      </c>
      <c r="D5" s="745">
        <v>8</v>
      </c>
      <c r="E5" s="745">
        <v>9</v>
      </c>
      <c r="F5" s="745">
        <v>8</v>
      </c>
      <c r="G5" s="746">
        <f t="shared" si="1"/>
        <v>26</v>
      </c>
      <c r="H5" s="746" t="str">
        <f t="shared" si="2"/>
        <v>A</v>
      </c>
      <c r="I5" s="746">
        <f t="shared" si="3"/>
        <v>200000</v>
      </c>
    </row>
    <row r="6" spans="1:15">
      <c r="A6" s="745" t="s">
        <v>1565</v>
      </c>
      <c r="B6" s="746" t="s">
        <v>1218</v>
      </c>
      <c r="C6" s="746">
        <f t="shared" si="0"/>
        <v>4</v>
      </c>
      <c r="D6" s="745">
        <v>4</v>
      </c>
      <c r="E6" s="745">
        <v>5</v>
      </c>
      <c r="F6" s="745">
        <v>7</v>
      </c>
      <c r="G6" s="746">
        <f t="shared" si="1"/>
        <v>16</v>
      </c>
      <c r="H6" s="746" t="str">
        <f t="shared" si="2"/>
        <v>C</v>
      </c>
      <c r="I6" s="746">
        <f t="shared" si="3"/>
        <v>0</v>
      </c>
    </row>
    <row r="7" spans="1:15">
      <c r="A7" s="745" t="s">
        <v>1573</v>
      </c>
      <c r="B7" s="746" t="s">
        <v>735</v>
      </c>
      <c r="C7" s="746">
        <f t="shared" si="0"/>
        <v>1</v>
      </c>
      <c r="D7" s="745">
        <v>9</v>
      </c>
      <c r="E7" s="745">
        <v>6</v>
      </c>
      <c r="F7" s="745">
        <v>6</v>
      </c>
      <c r="G7" s="746">
        <f t="shared" si="1"/>
        <v>22</v>
      </c>
      <c r="H7" s="746" t="str">
        <f t="shared" si="2"/>
        <v>B</v>
      </c>
      <c r="I7" s="746">
        <f t="shared" si="3"/>
        <v>100000</v>
      </c>
    </row>
    <row r="8" spans="1:15">
      <c r="A8" s="745" t="s">
        <v>1566</v>
      </c>
      <c r="B8" s="746" t="s">
        <v>1575</v>
      </c>
      <c r="C8" s="746">
        <f t="shared" si="0"/>
        <v>2</v>
      </c>
      <c r="D8" s="745">
        <v>7</v>
      </c>
      <c r="E8" s="745">
        <v>8</v>
      </c>
      <c r="F8" s="745">
        <v>6</v>
      </c>
      <c r="G8" s="746">
        <f t="shared" si="1"/>
        <v>21.5</v>
      </c>
      <c r="H8" s="746" t="str">
        <f t="shared" si="2"/>
        <v>C</v>
      </c>
      <c r="I8" s="746">
        <f t="shared" si="3"/>
        <v>0</v>
      </c>
    </row>
    <row r="10" spans="1:15">
      <c r="C10" s="786" t="s">
        <v>1567</v>
      </c>
      <c r="D10" s="786" t="s">
        <v>1568</v>
      </c>
      <c r="E10" s="786" t="s">
        <v>1569</v>
      </c>
    </row>
    <row r="11" spans="1:15">
      <c r="C11" s="744" t="s">
        <v>1139</v>
      </c>
      <c r="D11" s="745">
        <v>200000</v>
      </c>
      <c r="E11" s="746">
        <f>SUMIF($H$3:$H$8,C11,$I$3:$I$8)</f>
        <v>200000</v>
      </c>
    </row>
    <row r="12" spans="1:15">
      <c r="C12" s="744" t="s">
        <v>1140</v>
      </c>
      <c r="D12" s="745">
        <v>100000</v>
      </c>
      <c r="E12" s="746">
        <f>SUMIF($H$3:$H$8,C12,$I$3:$I$8)</f>
        <v>200000</v>
      </c>
    </row>
    <row r="13" spans="1:15">
      <c r="C13" s="744" t="s">
        <v>1141</v>
      </c>
      <c r="D13" s="745">
        <v>0</v>
      </c>
      <c r="E13" s="746">
        <f>SUMIF($H$3:$H$8,C13,$I$3:$I$8)</f>
        <v>0</v>
      </c>
    </row>
    <row r="14" spans="1:15">
      <c r="A14" s="740"/>
    </row>
    <row r="15" spans="1:15">
      <c r="A15" s="747" t="s">
        <v>1221</v>
      </c>
      <c r="B15" s="729"/>
      <c r="C15" s="729"/>
      <c r="D15" s="729"/>
      <c r="E15" s="729"/>
      <c r="F15" s="729"/>
      <c r="G15" s="729"/>
      <c r="H15" s="729"/>
      <c r="I15" s="729"/>
    </row>
    <row r="16" spans="1:15">
      <c r="A16" s="729" t="s">
        <v>1503</v>
      </c>
      <c r="B16" s="729"/>
      <c r="C16" s="729"/>
      <c r="D16" s="729"/>
      <c r="E16" s="729"/>
      <c r="F16" s="729"/>
      <c r="G16" s="729"/>
      <c r="H16" s="729"/>
      <c r="I16" s="729"/>
    </row>
    <row r="17" spans="1:9">
      <c r="A17" s="729" t="s">
        <v>1504</v>
      </c>
      <c r="B17" s="729"/>
      <c r="C17" s="729"/>
      <c r="D17" s="729"/>
      <c r="E17" s="729"/>
      <c r="F17" s="729"/>
      <c r="G17" s="729"/>
      <c r="H17" s="729"/>
      <c r="I17" s="729"/>
    </row>
    <row r="18" spans="1:9">
      <c r="A18" s="729" t="s">
        <v>1505</v>
      </c>
      <c r="B18" s="729"/>
      <c r="C18" s="729"/>
      <c r="D18" s="729"/>
      <c r="E18" s="729"/>
      <c r="F18" s="729"/>
      <c r="G18" s="729"/>
      <c r="H18" s="729"/>
      <c r="I18" s="729"/>
    </row>
    <row r="19" spans="1:9">
      <c r="A19" s="729" t="s">
        <v>1506</v>
      </c>
      <c r="B19" s="729"/>
      <c r="C19" s="729"/>
      <c r="D19" s="729"/>
      <c r="E19" s="729"/>
      <c r="F19" s="729"/>
      <c r="G19" s="729"/>
      <c r="H19" s="729"/>
      <c r="I19" s="729"/>
    </row>
    <row r="20" spans="1:9">
      <c r="A20" s="729" t="s">
        <v>1507</v>
      </c>
      <c r="B20" s="729"/>
      <c r="C20" s="729"/>
      <c r="D20" s="729"/>
      <c r="E20" s="729"/>
      <c r="F20" s="729"/>
      <c r="G20" s="729"/>
      <c r="H20" s="729"/>
      <c r="I20" s="729"/>
    </row>
    <row r="21" spans="1:9">
      <c r="A21" s="729" t="s">
        <v>1508</v>
      </c>
      <c r="B21" s="729"/>
      <c r="C21" s="729"/>
      <c r="D21" s="729"/>
      <c r="E21" s="729"/>
      <c r="F21" s="729"/>
      <c r="G21" s="729"/>
      <c r="H21" s="729"/>
      <c r="I21" s="729"/>
    </row>
    <row r="22" spans="1:9">
      <c r="A22" s="729" t="s">
        <v>1509</v>
      </c>
      <c r="B22" s="729"/>
      <c r="C22" s="729"/>
      <c r="D22" s="729"/>
      <c r="E22" s="729"/>
      <c r="F22" s="729"/>
      <c r="G22" s="729"/>
      <c r="H22" s="729"/>
      <c r="I22" s="729"/>
    </row>
    <row r="23" spans="1:9">
      <c r="A23" s="729" t="s">
        <v>1510</v>
      </c>
      <c r="B23" s="729"/>
      <c r="C23" s="729"/>
      <c r="D23" s="729"/>
      <c r="E23" s="729"/>
      <c r="F23" s="729"/>
      <c r="G23" s="729"/>
      <c r="H23" s="729"/>
      <c r="I23" s="729"/>
    </row>
    <row r="24" spans="1:9">
      <c r="A24" s="729" t="s">
        <v>1511</v>
      </c>
      <c r="B24" s="729"/>
      <c r="C24" s="729"/>
      <c r="D24" s="729"/>
      <c r="E24" s="729"/>
      <c r="F24" s="729"/>
      <c r="G24" s="729"/>
      <c r="H24" s="729"/>
      <c r="I24" s="729"/>
    </row>
    <row r="25" spans="1:9">
      <c r="A25" s="729" t="s">
        <v>1512</v>
      </c>
      <c r="B25" s="729"/>
      <c r="C25" s="729"/>
      <c r="D25" s="729"/>
      <c r="E25" s="729"/>
      <c r="F25" s="729"/>
      <c r="G25" s="729"/>
      <c r="H25" s="729"/>
      <c r="I25" s="729"/>
    </row>
    <row r="26" spans="1:9">
      <c r="A26" s="729" t="s">
        <v>1513</v>
      </c>
      <c r="B26" s="729"/>
      <c r="C26" s="729"/>
      <c r="D26" s="729"/>
      <c r="E26" s="729"/>
      <c r="F26" s="729"/>
      <c r="G26" s="729"/>
      <c r="H26" s="729"/>
      <c r="I26" s="729"/>
    </row>
    <row r="27" spans="1:9">
      <c r="A27" s="729" t="s">
        <v>1570</v>
      </c>
      <c r="B27" s="729"/>
      <c r="C27" s="729"/>
      <c r="D27" s="729"/>
      <c r="E27" s="729"/>
      <c r="F27" s="729"/>
      <c r="G27" s="729"/>
      <c r="H27" s="729"/>
      <c r="I27" s="729"/>
    </row>
    <row r="28" spans="1:9">
      <c r="A28" s="729" t="s">
        <v>1571</v>
      </c>
      <c r="B28" s="729"/>
      <c r="C28" s="729"/>
      <c r="D28" s="729"/>
      <c r="E28" s="729"/>
      <c r="F28" s="729"/>
      <c r="G28" s="729"/>
      <c r="H28" s="729"/>
      <c r="I28" s="729"/>
    </row>
    <row r="29" spans="1:9">
      <c r="A29" s="729" t="s">
        <v>1572</v>
      </c>
      <c r="B29" s="729"/>
      <c r="C29" s="729"/>
      <c r="D29" s="729"/>
      <c r="E29" s="729"/>
      <c r="F29" s="729"/>
      <c r="G29" s="729"/>
      <c r="H29" s="729"/>
      <c r="I29" s="729"/>
    </row>
  </sheetData>
  <mergeCells count="6">
    <mergeCell ref="I1:I2"/>
    <mergeCell ref="A1:A2"/>
    <mergeCell ref="B1:B2"/>
    <mergeCell ref="C1:C2"/>
    <mergeCell ref="H1:H2"/>
    <mergeCell ref="D1:G1"/>
  </mergeCells>
  <phoneticPr fontId="178"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8C29C-78D7-4495-A6C8-75EF532042B6}">
  <dimension ref="B1:N37"/>
  <sheetViews>
    <sheetView workbookViewId="0">
      <selection activeCell="M1" sqref="M1"/>
    </sheetView>
  </sheetViews>
  <sheetFormatPr defaultRowHeight="15.75"/>
  <cols>
    <col min="1" max="2" width="9.140625" style="695"/>
    <col min="3" max="3" width="10.28515625" style="695" customWidth="1"/>
    <col min="4" max="4" width="11.140625" style="695" customWidth="1"/>
    <col min="5" max="5" width="12.28515625" style="695" customWidth="1"/>
    <col min="6" max="6" width="11.28515625" style="695" customWidth="1"/>
    <col min="7" max="7" width="9.140625" style="695"/>
    <col min="8" max="8" width="9.7109375" style="695" customWidth="1"/>
    <col min="9" max="9" width="9.28515625" style="695" customWidth="1"/>
    <col min="10" max="10" width="20.7109375" style="695" customWidth="1"/>
    <col min="11" max="11" width="9.140625" style="695"/>
    <col min="12" max="12" width="12.42578125" style="695" customWidth="1"/>
    <col min="13" max="13" width="13.7109375" style="695" customWidth="1"/>
    <col min="14" max="16384" width="9.140625" style="695"/>
  </cols>
  <sheetData>
    <row r="1" spans="2:14">
      <c r="M1" s="886" t="s">
        <v>1991</v>
      </c>
      <c r="N1" s="145"/>
    </row>
    <row r="2" spans="2:14">
      <c r="B2" s="1194" t="s">
        <v>1577</v>
      </c>
      <c r="C2" s="1194"/>
      <c r="D2" s="1194"/>
      <c r="E2" s="1194"/>
      <c r="F2" s="1194"/>
      <c r="G2" s="1194"/>
      <c r="H2" s="1194"/>
      <c r="I2" s="1194"/>
      <c r="J2" s="1194"/>
      <c r="K2" s="1194"/>
    </row>
    <row r="3" spans="2:14">
      <c r="B3" s="1195" t="s">
        <v>444</v>
      </c>
      <c r="C3" s="1195" t="s">
        <v>1578</v>
      </c>
      <c r="D3" s="1195" t="s">
        <v>1579</v>
      </c>
      <c r="E3" s="1195"/>
      <c r="F3" s="1195"/>
      <c r="G3" s="1195" t="s">
        <v>1580</v>
      </c>
      <c r="H3" s="1195" t="s">
        <v>1581</v>
      </c>
      <c r="I3" s="1195" t="s">
        <v>770</v>
      </c>
      <c r="J3" s="1195" t="s">
        <v>771</v>
      </c>
      <c r="K3" s="1196" t="s">
        <v>365</v>
      </c>
      <c r="M3" s="767"/>
      <c r="N3" s="767"/>
    </row>
    <row r="4" spans="2:14">
      <c r="B4" s="1195"/>
      <c r="C4" s="1195"/>
      <c r="D4" s="768" t="s">
        <v>1292</v>
      </c>
      <c r="E4" s="768" t="s">
        <v>1144</v>
      </c>
      <c r="F4" s="768" t="s">
        <v>449</v>
      </c>
      <c r="G4" s="1195"/>
      <c r="H4" s="1195"/>
      <c r="I4" s="1195"/>
      <c r="J4" s="1195"/>
      <c r="K4" s="1196"/>
    </row>
    <row r="5" spans="2:14">
      <c r="B5" s="769" t="s">
        <v>1929</v>
      </c>
      <c r="C5" s="769" t="s">
        <v>1582</v>
      </c>
      <c r="D5" s="769">
        <v>2</v>
      </c>
      <c r="E5" s="769">
        <v>10</v>
      </c>
      <c r="F5" s="769">
        <v>1</v>
      </c>
      <c r="G5" s="770">
        <f>SUM(D5:F5)</f>
        <v>13</v>
      </c>
      <c r="H5" s="771" t="str">
        <f>IF(COUNTIF(D5:F5,"&gt;=5")=2,"THI LẠI",IF(MIN(D5:F5)&gt;=5,"ĐẠT","HỎNG"))</f>
        <v>HỎNG</v>
      </c>
      <c r="I5" s="771" t="str">
        <f>IF(AND(H5="THI LẠI",D5&lt;5),"Toán",IF(AND(H5="THI LẠI",E5&lt;5),"Lý",IF(AND(H5="THI LẠI",F5&lt;5),"Hóa","")))</f>
        <v/>
      </c>
      <c r="J5" s="783" t="str">
        <f>IF(AND(H5="ĐẠT",G5=MAX(G5:G14)),100000,"")</f>
        <v/>
      </c>
      <c r="K5" s="772">
        <v>0</v>
      </c>
    </row>
    <row r="6" spans="2:14">
      <c r="B6" s="769" t="s">
        <v>422</v>
      </c>
      <c r="C6" s="769" t="s">
        <v>1583</v>
      </c>
      <c r="D6" s="769">
        <v>8</v>
      </c>
      <c r="E6" s="769">
        <v>5</v>
      </c>
      <c r="F6" s="769">
        <v>1</v>
      </c>
      <c r="G6" s="770">
        <f t="shared" ref="G6:G14" si="0">SUM(D6:F6)</f>
        <v>14</v>
      </c>
      <c r="H6" s="771" t="str">
        <f t="shared" ref="H6:H14" si="1">IF(COUNTIF(D6:F6,"&gt;=5")=2,"THI LẠI",IF(MIN(D6:F6)&gt;=5,"ĐẠT","HỎNG"))</f>
        <v>THI LẠI</v>
      </c>
      <c r="I6" s="771" t="str">
        <f t="shared" ref="I6:I14" si="2">IF(AND(H6="THI LẠI",D6&lt;5),"Toán",IF(AND(H6="THI LẠI",E6&lt;5),"Lý",IF(AND(H6="THI LẠI",F6&lt;5),"Hóa","")))</f>
        <v>Hóa</v>
      </c>
      <c r="J6" s="783" t="str">
        <f t="shared" ref="J6:J14" si="3">IF(AND(H6="ĐẠT",G6=MAX(G6:G15)),100000,"")</f>
        <v/>
      </c>
      <c r="K6" s="772">
        <v>0</v>
      </c>
    </row>
    <row r="7" spans="2:14">
      <c r="B7" s="769" t="s">
        <v>415</v>
      </c>
      <c r="C7" s="769" t="s">
        <v>1584</v>
      </c>
      <c r="D7" s="769">
        <v>9</v>
      </c>
      <c r="E7" s="769">
        <v>8</v>
      </c>
      <c r="F7" s="769">
        <v>5</v>
      </c>
      <c r="G7" s="770">
        <f t="shared" si="0"/>
        <v>22</v>
      </c>
      <c r="H7" s="771" t="str">
        <f t="shared" si="1"/>
        <v>ĐẠT</v>
      </c>
      <c r="I7" s="771" t="str">
        <f t="shared" si="2"/>
        <v/>
      </c>
      <c r="J7" s="783" t="str">
        <f t="shared" si="3"/>
        <v/>
      </c>
      <c r="K7" s="772">
        <v>0</v>
      </c>
    </row>
    <row r="8" spans="2:14">
      <c r="B8" s="769" t="s">
        <v>397</v>
      </c>
      <c r="C8" s="769" t="s">
        <v>1585</v>
      </c>
      <c r="D8" s="769">
        <v>5</v>
      </c>
      <c r="E8" s="769">
        <v>10</v>
      </c>
      <c r="F8" s="769">
        <v>6</v>
      </c>
      <c r="G8" s="770">
        <f t="shared" si="0"/>
        <v>21</v>
      </c>
      <c r="H8" s="771" t="str">
        <f t="shared" si="1"/>
        <v>ĐẠT</v>
      </c>
      <c r="I8" s="771" t="str">
        <f t="shared" si="2"/>
        <v/>
      </c>
      <c r="J8" s="783" t="str">
        <f t="shared" si="3"/>
        <v/>
      </c>
      <c r="K8" s="772">
        <v>0</v>
      </c>
    </row>
    <row r="9" spans="2:14">
      <c r="B9" s="769" t="s">
        <v>999</v>
      </c>
      <c r="C9" s="769" t="s">
        <v>1586</v>
      </c>
      <c r="D9" s="769">
        <v>9</v>
      </c>
      <c r="E9" s="769">
        <v>10</v>
      </c>
      <c r="F9" s="769">
        <v>7</v>
      </c>
      <c r="G9" s="770">
        <f t="shared" si="0"/>
        <v>26</v>
      </c>
      <c r="H9" s="771" t="str">
        <f t="shared" si="1"/>
        <v>ĐẠT</v>
      </c>
      <c r="I9" s="771" t="str">
        <f t="shared" si="2"/>
        <v/>
      </c>
      <c r="J9" s="783">
        <f t="shared" si="3"/>
        <v>100000</v>
      </c>
      <c r="K9" s="772">
        <v>100000</v>
      </c>
    </row>
    <row r="10" spans="2:14">
      <c r="B10" s="769" t="s">
        <v>395</v>
      </c>
      <c r="C10" s="769" t="s">
        <v>1587</v>
      </c>
      <c r="D10" s="769">
        <v>8</v>
      </c>
      <c r="E10" s="769">
        <v>2</v>
      </c>
      <c r="F10" s="769">
        <v>6</v>
      </c>
      <c r="G10" s="770">
        <f t="shared" si="0"/>
        <v>16</v>
      </c>
      <c r="H10" s="771" t="str">
        <f t="shared" si="1"/>
        <v>THI LẠI</v>
      </c>
      <c r="I10" s="771" t="str">
        <f t="shared" si="2"/>
        <v>Lý</v>
      </c>
      <c r="J10" s="783" t="str">
        <f t="shared" si="3"/>
        <v/>
      </c>
      <c r="K10" s="772">
        <v>0</v>
      </c>
    </row>
    <row r="11" spans="2:14">
      <c r="B11" s="769" t="s">
        <v>1002</v>
      </c>
      <c r="C11" s="769" t="s">
        <v>1588</v>
      </c>
      <c r="D11" s="769">
        <v>10</v>
      </c>
      <c r="E11" s="769">
        <v>10</v>
      </c>
      <c r="F11" s="769">
        <v>4</v>
      </c>
      <c r="G11" s="770">
        <f t="shared" si="0"/>
        <v>24</v>
      </c>
      <c r="H11" s="771" t="str">
        <f t="shared" si="1"/>
        <v>THI LẠI</v>
      </c>
      <c r="I11" s="771" t="str">
        <f t="shared" si="2"/>
        <v>Hóa</v>
      </c>
      <c r="J11" s="783" t="str">
        <f t="shared" si="3"/>
        <v/>
      </c>
      <c r="K11" s="772">
        <v>0</v>
      </c>
    </row>
    <row r="12" spans="2:14">
      <c r="B12" s="769" t="s">
        <v>1589</v>
      </c>
      <c r="C12" s="769" t="s">
        <v>1590</v>
      </c>
      <c r="D12" s="769">
        <v>9</v>
      </c>
      <c r="E12" s="769">
        <v>2</v>
      </c>
      <c r="F12" s="769">
        <v>7</v>
      </c>
      <c r="G12" s="770">
        <f t="shared" si="0"/>
        <v>18</v>
      </c>
      <c r="H12" s="771" t="str">
        <f t="shared" si="1"/>
        <v>THI LẠI</v>
      </c>
      <c r="I12" s="771" t="str">
        <f t="shared" si="2"/>
        <v>Lý</v>
      </c>
      <c r="J12" s="783" t="str">
        <f t="shared" si="3"/>
        <v/>
      </c>
      <c r="K12" s="772">
        <v>0</v>
      </c>
    </row>
    <row r="13" spans="2:14">
      <c r="B13" s="769" t="s">
        <v>460</v>
      </c>
      <c r="C13" s="769" t="s">
        <v>1584</v>
      </c>
      <c r="D13" s="769">
        <v>2</v>
      </c>
      <c r="E13" s="769">
        <v>7</v>
      </c>
      <c r="F13" s="769">
        <v>2</v>
      </c>
      <c r="G13" s="770">
        <f t="shared" si="0"/>
        <v>11</v>
      </c>
      <c r="H13" s="771" t="str">
        <f t="shared" si="1"/>
        <v>HỎNG</v>
      </c>
      <c r="I13" s="771" t="str">
        <f t="shared" si="2"/>
        <v/>
      </c>
      <c r="J13" s="783" t="str">
        <f t="shared" si="3"/>
        <v/>
      </c>
      <c r="K13" s="772">
        <v>0</v>
      </c>
    </row>
    <row r="14" spans="2:14">
      <c r="B14" s="769" t="s">
        <v>1305</v>
      </c>
      <c r="C14" s="769" t="s">
        <v>1591</v>
      </c>
      <c r="D14" s="769">
        <v>8</v>
      </c>
      <c r="E14" s="769">
        <v>9</v>
      </c>
      <c r="F14" s="769">
        <v>9</v>
      </c>
      <c r="G14" s="770">
        <f t="shared" si="0"/>
        <v>26</v>
      </c>
      <c r="H14" s="771" t="str">
        <f t="shared" si="1"/>
        <v>ĐẠT</v>
      </c>
      <c r="I14" s="771" t="str">
        <f t="shared" si="2"/>
        <v/>
      </c>
      <c r="J14" s="783">
        <f t="shared" si="3"/>
        <v>100000</v>
      </c>
      <c r="K14" s="772">
        <v>100000</v>
      </c>
    </row>
    <row r="15" spans="2:14">
      <c r="H15" s="773"/>
      <c r="I15" s="773"/>
      <c r="J15" s="773"/>
      <c r="K15" s="774"/>
    </row>
    <row r="17" spans="2:11">
      <c r="B17" s="775" t="s">
        <v>345</v>
      </c>
      <c r="C17" s="776"/>
      <c r="D17" s="776"/>
      <c r="E17" s="776"/>
      <c r="F17" s="776"/>
      <c r="G17" s="776"/>
      <c r="H17" s="776"/>
      <c r="I17" s="776"/>
      <c r="J17" s="776"/>
      <c r="K17" s="776"/>
    </row>
    <row r="18" spans="2:11">
      <c r="B18" s="777" t="s">
        <v>346</v>
      </c>
      <c r="C18" s="778" t="s">
        <v>1592</v>
      </c>
      <c r="D18" s="776"/>
      <c r="E18" s="776"/>
      <c r="F18" s="776"/>
      <c r="G18" s="776"/>
      <c r="H18" s="776"/>
      <c r="I18" s="776"/>
      <c r="J18" s="776"/>
      <c r="K18" s="776"/>
    </row>
    <row r="19" spans="2:11">
      <c r="B19" s="777" t="s">
        <v>352</v>
      </c>
      <c r="C19" s="776" t="s">
        <v>1593</v>
      </c>
      <c r="D19" s="776"/>
      <c r="E19" s="776"/>
      <c r="F19" s="776"/>
      <c r="G19" s="776"/>
      <c r="H19" s="776"/>
      <c r="I19" s="776"/>
      <c r="J19" s="776"/>
      <c r="K19" s="776"/>
    </row>
    <row r="20" spans="2:11">
      <c r="B20" s="779"/>
      <c r="C20" s="780" t="s">
        <v>1594</v>
      </c>
      <c r="D20" s="776"/>
      <c r="E20" s="776"/>
      <c r="F20" s="776"/>
      <c r="G20" s="776"/>
      <c r="H20" s="776"/>
      <c r="I20" s="776"/>
      <c r="J20" s="776"/>
      <c r="K20" s="776"/>
    </row>
    <row r="21" spans="2:11">
      <c r="B21" s="779"/>
      <c r="C21" s="780" t="s">
        <v>1595</v>
      </c>
      <c r="D21" s="776"/>
      <c r="E21" s="776"/>
      <c r="F21" s="776"/>
      <c r="G21" s="776"/>
      <c r="H21" s="776"/>
      <c r="I21" s="776"/>
      <c r="J21" s="776"/>
      <c r="K21" s="776"/>
    </row>
    <row r="22" spans="2:11">
      <c r="B22" s="779"/>
      <c r="C22" s="780" t="s">
        <v>1596</v>
      </c>
      <c r="D22" s="776"/>
      <c r="E22" s="776"/>
      <c r="F22" s="776"/>
      <c r="G22" s="776"/>
      <c r="H22" s="776"/>
      <c r="I22" s="776"/>
      <c r="J22" s="776"/>
      <c r="K22" s="776"/>
    </row>
    <row r="23" spans="2:11">
      <c r="B23" s="777" t="s">
        <v>355</v>
      </c>
      <c r="C23" s="776" t="s">
        <v>1597</v>
      </c>
      <c r="D23" s="776"/>
      <c r="E23" s="776"/>
      <c r="F23" s="776"/>
      <c r="G23" s="776"/>
      <c r="H23" s="776"/>
      <c r="I23" s="776"/>
      <c r="J23" s="776"/>
      <c r="K23" s="776"/>
    </row>
    <row r="24" spans="2:11">
      <c r="B24" s="777"/>
      <c r="C24" s="780" t="s">
        <v>1598</v>
      </c>
      <c r="D24" s="776"/>
      <c r="E24" s="776"/>
      <c r="F24" s="776"/>
      <c r="G24" s="776"/>
      <c r="H24" s="776"/>
      <c r="I24" s="776"/>
      <c r="J24" s="776"/>
      <c r="K24" s="776"/>
    </row>
    <row r="25" spans="2:11">
      <c r="B25" s="779"/>
      <c r="C25" s="780" t="s">
        <v>785</v>
      </c>
      <c r="D25" s="776"/>
      <c r="E25" s="776"/>
      <c r="F25" s="776"/>
      <c r="G25" s="776"/>
      <c r="H25" s="776"/>
      <c r="I25" s="776"/>
      <c r="J25" s="776"/>
      <c r="K25" s="776"/>
    </row>
    <row r="26" spans="2:11">
      <c r="B26" s="777" t="s">
        <v>358</v>
      </c>
      <c r="C26" s="776" t="s">
        <v>1599</v>
      </c>
      <c r="D26" s="776"/>
      <c r="E26" s="776"/>
      <c r="F26" s="776"/>
      <c r="G26" s="776"/>
      <c r="H26" s="776"/>
      <c r="I26" s="776"/>
      <c r="J26" s="776"/>
      <c r="K26" s="776"/>
    </row>
    <row r="27" spans="2:11">
      <c r="B27" s="779"/>
      <c r="C27" s="780" t="s">
        <v>1600</v>
      </c>
      <c r="D27" s="776"/>
      <c r="E27" s="776"/>
      <c r="F27" s="776"/>
      <c r="G27" s="776"/>
      <c r="H27" s="776"/>
      <c r="I27" s="776"/>
      <c r="J27" s="776"/>
      <c r="K27" s="776"/>
    </row>
    <row r="28" spans="2:11">
      <c r="B28" s="777"/>
      <c r="C28" s="780" t="s">
        <v>1601</v>
      </c>
      <c r="D28" s="776"/>
      <c r="E28" s="776"/>
      <c r="F28" s="776"/>
      <c r="G28" s="776"/>
      <c r="H28" s="776"/>
      <c r="I28" s="776"/>
      <c r="J28" s="776"/>
      <c r="K28" s="776"/>
    </row>
    <row r="29" spans="2:11">
      <c r="B29" s="777" t="s">
        <v>360</v>
      </c>
      <c r="C29" s="781" t="s">
        <v>1602</v>
      </c>
      <c r="D29" s="776"/>
      <c r="E29" s="776"/>
      <c r="F29" s="776"/>
      <c r="G29" s="776"/>
      <c r="H29" s="776"/>
      <c r="I29" s="776"/>
      <c r="J29" s="776"/>
      <c r="K29" s="776"/>
    </row>
    <row r="37" spans="2:2">
      <c r="B37" s="782"/>
    </row>
  </sheetData>
  <mergeCells count="9">
    <mergeCell ref="B2:K2"/>
    <mergeCell ref="B3:B4"/>
    <mergeCell ref="C3:C4"/>
    <mergeCell ref="D3:F3"/>
    <mergeCell ref="G3:G4"/>
    <mergeCell ref="H3:H4"/>
    <mergeCell ref="I3:I4"/>
    <mergeCell ref="J3:J4"/>
    <mergeCell ref="K3:K4"/>
  </mergeCells>
  <phoneticPr fontId="178"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C5CD5-0875-4860-9192-74D5539AC8E7}">
  <dimension ref="A1:V30"/>
  <sheetViews>
    <sheetView workbookViewId="0">
      <selection activeCell="M1" sqref="M1"/>
    </sheetView>
  </sheetViews>
  <sheetFormatPr defaultRowHeight="15.75"/>
  <cols>
    <col min="1" max="1" width="3.28515625" style="145" customWidth="1"/>
    <col min="2" max="2" width="7.28515625" style="145" customWidth="1"/>
    <col min="3" max="3" width="14.42578125" style="145" customWidth="1"/>
    <col min="4" max="4" width="11.140625" style="145" customWidth="1"/>
    <col min="5" max="5" width="11.85546875" style="145" customWidth="1"/>
    <col min="6" max="6" width="9.140625" style="145"/>
    <col min="7" max="7" width="10.85546875" style="145" customWidth="1"/>
    <col min="8" max="8" width="10" style="145" customWidth="1"/>
    <col min="9" max="9" width="11.140625" style="145" customWidth="1"/>
    <col min="10" max="10" width="1.28515625" style="145" customWidth="1"/>
    <col min="11" max="11" width="16.5703125" style="145" customWidth="1"/>
    <col min="12" max="12" width="11.140625" style="145" customWidth="1"/>
    <col min="13" max="14" width="11.28515625" style="145" customWidth="1"/>
    <col min="15" max="16384" width="9.140625" style="145"/>
  </cols>
  <sheetData>
    <row r="1" spans="2:22">
      <c r="M1" s="886" t="s">
        <v>1991</v>
      </c>
    </row>
    <row r="2" spans="2:22">
      <c r="B2" s="1129" t="s">
        <v>1603</v>
      </c>
      <c r="C2" s="1129"/>
      <c r="D2" s="1129"/>
      <c r="E2" s="1129"/>
      <c r="F2" s="1129"/>
      <c r="G2" s="1129"/>
      <c r="H2" s="1129"/>
      <c r="I2" s="1129"/>
    </row>
    <row r="3" spans="2:22" ht="47.25">
      <c r="B3" s="146" t="s">
        <v>1604</v>
      </c>
      <c r="C3" s="146" t="s">
        <v>1605</v>
      </c>
      <c r="D3" s="146" t="s">
        <v>1606</v>
      </c>
      <c r="E3" s="146" t="s">
        <v>1607</v>
      </c>
      <c r="F3" s="146" t="s">
        <v>1608</v>
      </c>
      <c r="G3" s="146" t="s">
        <v>1609</v>
      </c>
      <c r="H3" s="146" t="s">
        <v>1610</v>
      </c>
      <c r="I3" s="146" t="s">
        <v>1611</v>
      </c>
    </row>
    <row r="4" spans="2:22">
      <c r="B4" s="790">
        <v>1</v>
      </c>
      <c r="C4" s="413" t="s">
        <v>122</v>
      </c>
      <c r="D4" s="413" t="s">
        <v>1612</v>
      </c>
      <c r="E4" s="791" t="str">
        <f>HLOOKUP(LEFT(C4,1),$L$18:$N$19,2,0)</f>
        <v>Kế Hoạch</v>
      </c>
      <c r="F4" s="413" t="s">
        <v>1016</v>
      </c>
      <c r="G4" s="792">
        <f>VLOOKUP(F4,$B$18:$C$22,2,0)</f>
        <v>50000</v>
      </c>
      <c r="H4" s="793">
        <v>550000</v>
      </c>
      <c r="I4" s="794">
        <f>SUM(G4:H4)</f>
        <v>600000</v>
      </c>
      <c r="L4" s="728"/>
      <c r="M4" s="728"/>
      <c r="N4" s="728"/>
      <c r="O4" s="728"/>
      <c r="P4" s="728"/>
      <c r="Q4" s="728"/>
      <c r="R4" s="728"/>
      <c r="S4" s="728"/>
      <c r="T4" s="728"/>
      <c r="U4" s="728"/>
      <c r="V4" s="728"/>
    </row>
    <row r="5" spans="2:22">
      <c r="B5" s="790">
        <v>2</v>
      </c>
      <c r="C5" s="413" t="s">
        <v>124</v>
      </c>
      <c r="D5" s="413" t="s">
        <v>1002</v>
      </c>
      <c r="E5" s="791" t="str">
        <f t="shared" ref="E5:E13" si="0">HLOOKUP(LEFT(C5,1),$L$18:$N$19,2,0)</f>
        <v>Hành Chính</v>
      </c>
      <c r="F5" s="413" t="s">
        <v>1017</v>
      </c>
      <c r="G5" s="792">
        <f t="shared" ref="G5:G13" si="1">VLOOKUP(F5,$B$18:$C$22,2,0)</f>
        <v>40000</v>
      </c>
      <c r="H5" s="793">
        <v>450000</v>
      </c>
      <c r="I5" s="794">
        <f t="shared" ref="I5:I13" si="2">SUM(G5:H5)</f>
        <v>490000</v>
      </c>
      <c r="K5" s="161" t="s">
        <v>345</v>
      </c>
      <c r="L5" s="161"/>
      <c r="M5" s="161"/>
      <c r="N5" s="161"/>
      <c r="O5" s="161"/>
      <c r="P5" s="161"/>
      <c r="Q5" s="161"/>
      <c r="R5" s="161"/>
      <c r="S5" s="161"/>
      <c r="T5" s="161"/>
      <c r="U5" s="161"/>
      <c r="V5" s="161"/>
    </row>
    <row r="6" spans="2:22">
      <c r="B6" s="790">
        <v>3</v>
      </c>
      <c r="C6" s="413" t="s">
        <v>128</v>
      </c>
      <c r="D6" s="413" t="s">
        <v>1613</v>
      </c>
      <c r="E6" s="791" t="str">
        <f t="shared" si="0"/>
        <v>Kế Hoạch</v>
      </c>
      <c r="F6" s="413" t="s">
        <v>1015</v>
      </c>
      <c r="G6" s="792">
        <f t="shared" si="1"/>
        <v>30000</v>
      </c>
      <c r="H6" s="793">
        <v>430000</v>
      </c>
      <c r="I6" s="794">
        <f t="shared" si="2"/>
        <v>460000</v>
      </c>
      <c r="K6" s="163" t="s">
        <v>346</v>
      </c>
      <c r="L6" s="162" t="s">
        <v>1614</v>
      </c>
      <c r="M6" s="162"/>
      <c r="N6" s="162"/>
      <c r="O6" s="162"/>
      <c r="P6" s="162"/>
      <c r="Q6" s="162"/>
      <c r="R6" s="162"/>
      <c r="S6" s="162"/>
      <c r="T6" s="162"/>
      <c r="U6" s="162"/>
      <c r="V6" s="162"/>
    </row>
    <row r="7" spans="2:22">
      <c r="B7" s="790">
        <v>4</v>
      </c>
      <c r="C7" s="413" t="s">
        <v>125</v>
      </c>
      <c r="D7" s="413" t="s">
        <v>460</v>
      </c>
      <c r="E7" s="791" t="str">
        <f t="shared" si="0"/>
        <v>Kế Toán</v>
      </c>
      <c r="F7" s="413" t="s">
        <v>1013</v>
      </c>
      <c r="G7" s="792">
        <f t="shared" si="1"/>
        <v>10000</v>
      </c>
      <c r="H7" s="793">
        <v>300000</v>
      </c>
      <c r="I7" s="794">
        <f t="shared" si="2"/>
        <v>310000</v>
      </c>
      <c r="K7" s="163" t="s">
        <v>352</v>
      </c>
      <c r="L7" s="214" t="s">
        <v>1615</v>
      </c>
      <c r="M7" s="162"/>
      <c r="N7" s="162"/>
      <c r="O7" s="162"/>
      <c r="P7" s="162"/>
      <c r="Q7" s="162"/>
      <c r="R7" s="162"/>
      <c r="S7" s="162"/>
      <c r="T7" s="162"/>
      <c r="U7" s="162"/>
      <c r="V7" s="162"/>
    </row>
    <row r="8" spans="2:22">
      <c r="B8" s="790">
        <v>5</v>
      </c>
      <c r="C8" s="413" t="s">
        <v>1616</v>
      </c>
      <c r="D8" s="413" t="s">
        <v>1003</v>
      </c>
      <c r="E8" s="791" t="str">
        <f t="shared" si="0"/>
        <v>Kế Hoạch</v>
      </c>
      <c r="F8" s="413" t="s">
        <v>1015</v>
      </c>
      <c r="G8" s="792">
        <f t="shared" si="1"/>
        <v>30000</v>
      </c>
      <c r="H8" s="793">
        <v>450000</v>
      </c>
      <c r="I8" s="794">
        <f t="shared" si="2"/>
        <v>480000</v>
      </c>
      <c r="K8" s="795"/>
      <c r="L8" s="162" t="s">
        <v>1617</v>
      </c>
      <c r="M8" s="162"/>
      <c r="N8" s="162"/>
      <c r="O8" s="162"/>
      <c r="P8" s="162"/>
      <c r="Q8" s="162"/>
      <c r="R8" s="162"/>
      <c r="S8" s="162"/>
      <c r="T8" s="162"/>
      <c r="U8" s="162"/>
      <c r="V8" s="162"/>
    </row>
    <row r="9" spans="2:22">
      <c r="B9" s="790">
        <v>6</v>
      </c>
      <c r="C9" s="413" t="s">
        <v>126</v>
      </c>
      <c r="D9" s="413" t="s">
        <v>1618</v>
      </c>
      <c r="E9" s="791" t="str">
        <f t="shared" si="0"/>
        <v>Hành Chính</v>
      </c>
      <c r="F9" s="413" t="s">
        <v>1619</v>
      </c>
      <c r="G9" s="792">
        <f t="shared" si="1"/>
        <v>20000</v>
      </c>
      <c r="H9" s="793">
        <v>350000</v>
      </c>
      <c r="I9" s="794">
        <f t="shared" si="2"/>
        <v>370000</v>
      </c>
      <c r="K9" s="163" t="s">
        <v>355</v>
      </c>
      <c r="L9" s="162" t="s">
        <v>1620</v>
      </c>
      <c r="M9" s="162"/>
      <c r="N9" s="162"/>
      <c r="O9" s="162"/>
      <c r="P9" s="162"/>
      <c r="Q9" s="162"/>
      <c r="R9" s="162"/>
      <c r="S9" s="162"/>
      <c r="T9" s="162"/>
      <c r="U9" s="162"/>
      <c r="V9" s="162"/>
    </row>
    <row r="10" spans="2:22">
      <c r="B10" s="790">
        <v>7</v>
      </c>
      <c r="C10" s="413" t="s">
        <v>1621</v>
      </c>
      <c r="D10" s="413" t="s">
        <v>1622</v>
      </c>
      <c r="E10" s="791" t="str">
        <f t="shared" si="0"/>
        <v>Kế Toán</v>
      </c>
      <c r="F10" s="413" t="s">
        <v>1013</v>
      </c>
      <c r="G10" s="792">
        <f t="shared" si="1"/>
        <v>10000</v>
      </c>
      <c r="H10" s="793">
        <v>300000</v>
      </c>
      <c r="I10" s="794">
        <f t="shared" si="2"/>
        <v>310000</v>
      </c>
      <c r="K10" s="163" t="s">
        <v>358</v>
      </c>
      <c r="L10" s="162" t="s">
        <v>1623</v>
      </c>
      <c r="M10" s="162"/>
      <c r="N10" s="162"/>
      <c r="O10" s="162"/>
      <c r="P10" s="162"/>
      <c r="Q10" s="162"/>
      <c r="R10" s="162"/>
      <c r="S10" s="162"/>
      <c r="T10" s="162"/>
      <c r="U10" s="162"/>
      <c r="V10" s="162"/>
    </row>
    <row r="11" spans="2:22">
      <c r="B11" s="790">
        <v>8</v>
      </c>
      <c r="C11" s="413" t="s">
        <v>1624</v>
      </c>
      <c r="D11" s="413" t="s">
        <v>1625</v>
      </c>
      <c r="E11" s="791" t="str">
        <f t="shared" si="0"/>
        <v>Hành Chính</v>
      </c>
      <c r="F11" s="413" t="s">
        <v>1013</v>
      </c>
      <c r="G11" s="792">
        <f t="shared" si="1"/>
        <v>10000</v>
      </c>
      <c r="H11" s="793">
        <v>330000</v>
      </c>
      <c r="I11" s="794">
        <f t="shared" si="2"/>
        <v>340000</v>
      </c>
      <c r="K11" s="163" t="s">
        <v>360</v>
      </c>
      <c r="L11" s="162" t="s">
        <v>1626</v>
      </c>
      <c r="M11" s="162"/>
      <c r="N11" s="162"/>
      <c r="O11" s="162"/>
      <c r="P11" s="162"/>
      <c r="Q11" s="162"/>
      <c r="R11" s="162"/>
      <c r="S11" s="162"/>
      <c r="T11" s="162"/>
      <c r="U11" s="162"/>
      <c r="V11" s="162"/>
    </row>
    <row r="12" spans="2:22">
      <c r="B12" s="790">
        <v>9</v>
      </c>
      <c r="C12" s="413" t="s">
        <v>1627</v>
      </c>
      <c r="D12" s="413" t="s">
        <v>417</v>
      </c>
      <c r="E12" s="791" t="str">
        <f t="shared" si="0"/>
        <v>Kế Hoạch</v>
      </c>
      <c r="F12" s="413" t="s">
        <v>1013</v>
      </c>
      <c r="G12" s="792">
        <f t="shared" si="1"/>
        <v>10000</v>
      </c>
      <c r="H12" s="793">
        <v>320000</v>
      </c>
      <c r="I12" s="794">
        <f t="shared" si="2"/>
        <v>330000</v>
      </c>
      <c r="K12" s="163" t="s">
        <v>441</v>
      </c>
      <c r="L12" s="162" t="s">
        <v>1628</v>
      </c>
      <c r="M12" s="162"/>
      <c r="N12" s="162"/>
      <c r="O12" s="162"/>
      <c r="P12" s="162"/>
      <c r="Q12" s="162"/>
      <c r="R12" s="162"/>
      <c r="S12" s="162"/>
      <c r="T12" s="162"/>
      <c r="U12" s="162"/>
      <c r="V12" s="162"/>
    </row>
    <row r="13" spans="2:22">
      <c r="B13" s="790">
        <v>10</v>
      </c>
      <c r="C13" s="413" t="s">
        <v>1629</v>
      </c>
      <c r="D13" s="413" t="s">
        <v>1305</v>
      </c>
      <c r="E13" s="791" t="str">
        <f t="shared" si="0"/>
        <v>Hành Chính</v>
      </c>
      <c r="F13" s="413" t="s">
        <v>1013</v>
      </c>
      <c r="G13" s="792">
        <f t="shared" si="1"/>
        <v>10000</v>
      </c>
      <c r="H13" s="793">
        <v>310000</v>
      </c>
      <c r="I13" s="794">
        <f t="shared" si="2"/>
        <v>320000</v>
      </c>
    </row>
    <row r="14" spans="2:22">
      <c r="B14" s="1052" t="s">
        <v>335</v>
      </c>
      <c r="C14" s="1052"/>
      <c r="D14" s="1052"/>
      <c r="E14" s="1052"/>
      <c r="F14" s="1052"/>
      <c r="G14" s="804">
        <f>SUM(G4:G13)</f>
        <v>220000</v>
      </c>
      <c r="H14" s="805">
        <f>SUM(H4:H13)</f>
        <v>3790000</v>
      </c>
      <c r="I14" s="806">
        <f>SUM(I4:I13)</f>
        <v>4010000</v>
      </c>
    </row>
    <row r="15" spans="2:22">
      <c r="B15" s="1198" t="s">
        <v>336</v>
      </c>
      <c r="C15" s="1199"/>
      <c r="D15" s="1199"/>
      <c r="E15" s="1199"/>
      <c r="F15" s="1200"/>
      <c r="G15" s="796">
        <v>220000</v>
      </c>
      <c r="H15" s="796">
        <v>3790000</v>
      </c>
      <c r="I15" s="797">
        <v>4010000</v>
      </c>
    </row>
    <row r="17" spans="1:14">
      <c r="B17" s="1201" t="s">
        <v>1630</v>
      </c>
      <c r="C17" s="1202"/>
      <c r="K17" s="1197" t="s">
        <v>1631</v>
      </c>
      <c r="L17" s="1197"/>
      <c r="M17" s="1197"/>
      <c r="N17" s="1197"/>
    </row>
    <row r="18" spans="1:14">
      <c r="B18" s="798" t="s">
        <v>1016</v>
      </c>
      <c r="C18" s="799">
        <v>50000</v>
      </c>
      <c r="K18" s="800" t="s">
        <v>1632</v>
      </c>
      <c r="L18" s="801" t="s">
        <v>1139</v>
      </c>
      <c r="M18" s="801" t="s">
        <v>1140</v>
      </c>
      <c r="N18" s="801" t="s">
        <v>1141</v>
      </c>
    </row>
    <row r="19" spans="1:14">
      <c r="B19" s="798" t="s">
        <v>1017</v>
      </c>
      <c r="C19" s="799">
        <v>40000</v>
      </c>
      <c r="K19" s="800" t="s">
        <v>1633</v>
      </c>
      <c r="L19" s="802" t="s">
        <v>1634</v>
      </c>
      <c r="M19" s="802" t="s">
        <v>1635</v>
      </c>
      <c r="N19" s="802" t="s">
        <v>1636</v>
      </c>
    </row>
    <row r="20" spans="1:14">
      <c r="B20" s="798" t="s">
        <v>1015</v>
      </c>
      <c r="C20" s="799">
        <v>30000</v>
      </c>
    </row>
    <row r="21" spans="1:14">
      <c r="B21" s="798" t="s">
        <v>1619</v>
      </c>
      <c r="C21" s="799">
        <v>20000</v>
      </c>
    </row>
    <row r="22" spans="1:14">
      <c r="B22" s="798" t="s">
        <v>1013</v>
      </c>
      <c r="C22" s="799">
        <v>10000</v>
      </c>
    </row>
    <row r="30" spans="1:14">
      <c r="A30" s="201"/>
    </row>
  </sheetData>
  <mergeCells count="5">
    <mergeCell ref="K17:N17"/>
    <mergeCell ref="B2:I2"/>
    <mergeCell ref="B14:F14"/>
    <mergeCell ref="B15:F15"/>
    <mergeCell ref="B17:C17"/>
  </mergeCells>
  <phoneticPr fontId="178"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78F93-C59A-4F9C-B141-3364BC9FA964}">
  <dimension ref="B2:S166"/>
  <sheetViews>
    <sheetView workbookViewId="0">
      <selection activeCell="E9" sqref="E9"/>
    </sheetView>
  </sheetViews>
  <sheetFormatPr defaultRowHeight="15.75"/>
  <cols>
    <col min="1" max="1" width="3.7109375" style="145" customWidth="1"/>
    <col min="2" max="2" width="10.5703125" style="145" customWidth="1"/>
    <col min="3" max="3" width="12.5703125" style="145" customWidth="1"/>
    <col min="4" max="4" width="14.5703125" style="145" customWidth="1"/>
    <col min="5" max="5" width="14.140625" style="145" customWidth="1"/>
    <col min="6" max="6" width="12.5703125" style="145" customWidth="1"/>
    <col min="7" max="7" width="10.28515625" style="145" customWidth="1"/>
    <col min="8" max="8" width="10.7109375" style="145" customWidth="1"/>
    <col min="9" max="9" width="9.85546875" style="145" customWidth="1"/>
    <col min="10" max="10" width="10.85546875" style="145" customWidth="1"/>
    <col min="11" max="11" width="11.5703125" style="145" customWidth="1"/>
    <col min="12" max="12" width="11.42578125" style="145" customWidth="1"/>
    <col min="13" max="13" width="5.85546875" style="145" customWidth="1"/>
    <col min="14" max="14" width="9.140625" style="145"/>
    <col min="15" max="15" width="2.85546875" style="145" customWidth="1"/>
    <col min="16" max="16" width="13.140625" style="145" customWidth="1"/>
    <col min="17" max="17" width="9.140625" style="145"/>
    <col min="18" max="18" width="12.28515625" style="145" customWidth="1"/>
    <col min="19" max="16384" width="9.140625" style="145"/>
  </cols>
  <sheetData>
    <row r="2" spans="2:19">
      <c r="B2" s="1206" t="s">
        <v>1914</v>
      </c>
      <c r="C2" s="1206"/>
      <c r="D2" s="1206"/>
      <c r="E2" s="1206"/>
      <c r="F2" s="1206"/>
      <c r="G2" s="1206"/>
      <c r="H2" s="1206"/>
      <c r="I2" s="1206"/>
      <c r="J2" s="1206"/>
      <c r="K2" s="1206"/>
    </row>
    <row r="3" spans="2:19" ht="31.5">
      <c r="B3" s="807" t="s">
        <v>1637</v>
      </c>
      <c r="C3" s="807" t="s">
        <v>1638</v>
      </c>
      <c r="D3" s="807" t="s">
        <v>1639</v>
      </c>
      <c r="E3" s="807" t="s">
        <v>1640</v>
      </c>
      <c r="F3" s="807" t="s">
        <v>1641</v>
      </c>
      <c r="G3" s="807" t="s">
        <v>1642</v>
      </c>
      <c r="H3" s="807" t="s">
        <v>1643</v>
      </c>
      <c r="I3" s="807" t="s">
        <v>331</v>
      </c>
      <c r="J3" s="807" t="s">
        <v>1644</v>
      </c>
      <c r="K3" s="807" t="s">
        <v>333</v>
      </c>
      <c r="L3" s="808"/>
    </row>
    <row r="4" spans="2:19">
      <c r="B4" s="829" t="s">
        <v>1003</v>
      </c>
      <c r="C4" s="829" t="s">
        <v>1646</v>
      </c>
      <c r="D4" s="830">
        <v>37477</v>
      </c>
      <c r="E4" s="830">
        <v>37542</v>
      </c>
      <c r="F4" s="821">
        <f t="shared" ref="F4:F13" si="0">(E4-D4)</f>
        <v>65</v>
      </c>
      <c r="G4" s="179" t="s">
        <v>1140</v>
      </c>
      <c r="H4" s="822">
        <f t="shared" ref="H4:H13" si="1">IF(G4="A",50000,IF(G4="B",30000,IF(G4="C",20000)))</f>
        <v>30000</v>
      </c>
      <c r="I4" s="822">
        <f t="shared" ref="I4:I13" si="2">F4*H4</f>
        <v>1950000</v>
      </c>
      <c r="J4" s="823">
        <f t="shared" ref="J4:J13" si="3">IF(AND(WEEKDAY(D4)=1,F4&gt;30),10%*I4,IF(F4&gt;25,5%*I4,0))</f>
        <v>97500</v>
      </c>
      <c r="K4" s="822">
        <f t="shared" ref="K4:K13" si="4">I4-J4</f>
        <v>1852500</v>
      </c>
      <c r="L4" s="825"/>
    </row>
    <row r="5" spans="2:19">
      <c r="B5" s="829" t="s">
        <v>1656</v>
      </c>
      <c r="C5" s="829" t="s">
        <v>1646</v>
      </c>
      <c r="D5" s="830">
        <v>37567</v>
      </c>
      <c r="E5" s="830">
        <v>37599</v>
      </c>
      <c r="F5" s="821">
        <f t="shared" si="0"/>
        <v>32</v>
      </c>
      <c r="G5" s="179" t="s">
        <v>1140</v>
      </c>
      <c r="H5" s="822">
        <f t="shared" si="1"/>
        <v>30000</v>
      </c>
      <c r="I5" s="822">
        <f t="shared" si="2"/>
        <v>960000</v>
      </c>
      <c r="J5" s="823">
        <f t="shared" si="3"/>
        <v>48000</v>
      </c>
      <c r="K5" s="822">
        <f t="shared" si="4"/>
        <v>912000</v>
      </c>
      <c r="L5" s="222"/>
    </row>
    <row r="6" spans="2:19">
      <c r="B6" s="829" t="s">
        <v>1649</v>
      </c>
      <c r="C6" s="829" t="s">
        <v>775</v>
      </c>
      <c r="D6" s="830">
        <v>37347</v>
      </c>
      <c r="E6" s="830">
        <v>37376</v>
      </c>
      <c r="F6" s="821">
        <f t="shared" si="0"/>
        <v>29</v>
      </c>
      <c r="G6" s="179" t="s">
        <v>1140</v>
      </c>
      <c r="H6" s="822">
        <f t="shared" si="1"/>
        <v>30000</v>
      </c>
      <c r="I6" s="822">
        <f t="shared" si="2"/>
        <v>870000</v>
      </c>
      <c r="J6" s="823">
        <f t="shared" si="3"/>
        <v>43500</v>
      </c>
      <c r="K6" s="822">
        <f t="shared" si="4"/>
        <v>826500</v>
      </c>
      <c r="L6" s="222"/>
    </row>
    <row r="7" spans="2:19">
      <c r="B7" s="829" t="s">
        <v>1645</v>
      </c>
      <c r="C7" s="829" t="s">
        <v>1646</v>
      </c>
      <c r="D7" s="830">
        <v>37605</v>
      </c>
      <c r="E7" s="830">
        <v>37620</v>
      </c>
      <c r="F7" s="821">
        <f t="shared" si="0"/>
        <v>15</v>
      </c>
      <c r="G7" s="179" t="s">
        <v>1139</v>
      </c>
      <c r="H7" s="822">
        <f t="shared" si="1"/>
        <v>50000</v>
      </c>
      <c r="I7" s="822">
        <f t="shared" si="2"/>
        <v>750000</v>
      </c>
      <c r="J7" s="823">
        <f t="shared" si="3"/>
        <v>0</v>
      </c>
      <c r="K7" s="822">
        <f t="shared" si="4"/>
        <v>750000</v>
      </c>
      <c r="L7" s="222"/>
    </row>
    <row r="8" spans="2:19">
      <c r="B8" s="829" t="s">
        <v>1655</v>
      </c>
      <c r="C8" s="829" t="s">
        <v>1929</v>
      </c>
      <c r="D8" s="830">
        <v>37287</v>
      </c>
      <c r="E8" s="830">
        <v>37301</v>
      </c>
      <c r="F8" s="821">
        <f t="shared" si="0"/>
        <v>14</v>
      </c>
      <c r="G8" s="179" t="s">
        <v>1139</v>
      </c>
      <c r="H8" s="822">
        <f t="shared" si="1"/>
        <v>50000</v>
      </c>
      <c r="I8" s="822">
        <f t="shared" si="2"/>
        <v>700000</v>
      </c>
      <c r="J8" s="823">
        <f t="shared" si="3"/>
        <v>0</v>
      </c>
      <c r="K8" s="822">
        <f t="shared" si="4"/>
        <v>700000</v>
      </c>
      <c r="L8" s="222"/>
    </row>
    <row r="9" spans="2:19">
      <c r="B9" s="829" t="s">
        <v>1647</v>
      </c>
      <c r="C9" s="829" t="s">
        <v>1648</v>
      </c>
      <c r="D9" s="830">
        <v>37412</v>
      </c>
      <c r="E9" s="830">
        <v>37443</v>
      </c>
      <c r="F9" s="821">
        <f t="shared" si="0"/>
        <v>31</v>
      </c>
      <c r="G9" s="179" t="s">
        <v>1141</v>
      </c>
      <c r="H9" s="822">
        <f t="shared" si="1"/>
        <v>20000</v>
      </c>
      <c r="I9" s="822">
        <f t="shared" si="2"/>
        <v>620000</v>
      </c>
      <c r="J9" s="823">
        <f t="shared" si="3"/>
        <v>31000</v>
      </c>
      <c r="K9" s="822">
        <f t="shared" si="4"/>
        <v>589000</v>
      </c>
      <c r="L9" s="222"/>
    </row>
    <row r="10" spans="2:19">
      <c r="B10" s="829" t="s">
        <v>1651</v>
      </c>
      <c r="C10" s="829" t="s">
        <v>1652</v>
      </c>
      <c r="D10" s="830">
        <v>37409</v>
      </c>
      <c r="E10" s="830">
        <v>37441</v>
      </c>
      <c r="F10" s="821">
        <f t="shared" si="0"/>
        <v>32</v>
      </c>
      <c r="G10" s="179" t="s">
        <v>1141</v>
      </c>
      <c r="H10" s="822">
        <f t="shared" si="1"/>
        <v>20000</v>
      </c>
      <c r="I10" s="822">
        <f t="shared" si="2"/>
        <v>640000</v>
      </c>
      <c r="J10" s="823">
        <f t="shared" si="3"/>
        <v>64000</v>
      </c>
      <c r="K10" s="822">
        <f t="shared" si="4"/>
        <v>576000</v>
      </c>
      <c r="L10" s="222"/>
    </row>
    <row r="11" spans="2:19">
      <c r="B11" s="829" t="s">
        <v>1309</v>
      </c>
      <c r="C11" s="829" t="s">
        <v>1646</v>
      </c>
      <c r="D11" s="830">
        <v>37594</v>
      </c>
      <c r="E11" s="830">
        <v>37620</v>
      </c>
      <c r="F11" s="821">
        <f t="shared" si="0"/>
        <v>26</v>
      </c>
      <c r="G11" s="179" t="s">
        <v>1141</v>
      </c>
      <c r="H11" s="822">
        <f t="shared" si="1"/>
        <v>20000</v>
      </c>
      <c r="I11" s="822">
        <f t="shared" si="2"/>
        <v>520000</v>
      </c>
      <c r="J11" s="823">
        <f t="shared" si="3"/>
        <v>26000</v>
      </c>
      <c r="K11" s="822">
        <f t="shared" si="4"/>
        <v>494000</v>
      </c>
      <c r="L11" s="222"/>
    </row>
    <row r="12" spans="2:19">
      <c r="B12" s="829" t="s">
        <v>1650</v>
      </c>
      <c r="C12" s="829" t="s">
        <v>1931</v>
      </c>
      <c r="D12" s="830">
        <v>37294</v>
      </c>
      <c r="E12" s="830">
        <v>37302</v>
      </c>
      <c r="F12" s="821">
        <f t="shared" si="0"/>
        <v>8</v>
      </c>
      <c r="G12" s="179" t="s">
        <v>1139</v>
      </c>
      <c r="H12" s="822">
        <f t="shared" si="1"/>
        <v>50000</v>
      </c>
      <c r="I12" s="822">
        <f t="shared" si="2"/>
        <v>400000</v>
      </c>
      <c r="J12" s="823">
        <f t="shared" si="3"/>
        <v>0</v>
      </c>
      <c r="K12" s="822">
        <f t="shared" si="4"/>
        <v>400000</v>
      </c>
      <c r="L12" s="222"/>
    </row>
    <row r="13" spans="2:19">
      <c r="B13" s="829" t="s">
        <v>1653</v>
      </c>
      <c r="C13" s="829" t="s">
        <v>1654</v>
      </c>
      <c r="D13" s="830">
        <v>37506</v>
      </c>
      <c r="E13" s="830">
        <v>37518</v>
      </c>
      <c r="F13" s="821">
        <f t="shared" si="0"/>
        <v>12</v>
      </c>
      <c r="G13" s="179" t="s">
        <v>1140</v>
      </c>
      <c r="H13" s="822">
        <f t="shared" si="1"/>
        <v>30000</v>
      </c>
      <c r="I13" s="822">
        <f t="shared" si="2"/>
        <v>360000</v>
      </c>
      <c r="J13" s="823">
        <f t="shared" si="3"/>
        <v>0</v>
      </c>
      <c r="K13" s="822">
        <f t="shared" si="4"/>
        <v>360000</v>
      </c>
      <c r="L13" s="222"/>
    </row>
    <row r="14" spans="2:19">
      <c r="B14" s="1203" t="s">
        <v>335</v>
      </c>
      <c r="C14" s="1204"/>
      <c r="D14" s="1204"/>
      <c r="E14" s="1204"/>
      <c r="F14" s="1204"/>
      <c r="G14" s="1204"/>
      <c r="H14" s="1205"/>
      <c r="I14" s="824">
        <f>SUM(I4:I13)</f>
        <v>7770000</v>
      </c>
      <c r="J14" s="824">
        <f>SUM(J4:J13)</f>
        <v>310000</v>
      </c>
      <c r="K14" s="824">
        <f>SUM(K4:K13)</f>
        <v>7460000</v>
      </c>
      <c r="L14" s="809"/>
      <c r="M14" s="605"/>
      <c r="N14" s="605"/>
    </row>
    <row r="15" spans="2:19" ht="15.75" customHeight="1">
      <c r="B15" s="1203" t="s">
        <v>336</v>
      </c>
      <c r="C15" s="1204"/>
      <c r="D15" s="1204"/>
      <c r="E15" s="1204"/>
      <c r="F15" s="1204"/>
      <c r="G15" s="1204"/>
      <c r="H15" s="1205"/>
      <c r="I15" s="824">
        <v>7770000</v>
      </c>
      <c r="J15" s="824">
        <v>310000</v>
      </c>
      <c r="K15" s="824">
        <v>7460000</v>
      </c>
      <c r="L15" s="605"/>
      <c r="S15" s="605"/>
    </row>
    <row r="16" spans="2:19">
      <c r="B16" s="161" t="s">
        <v>345</v>
      </c>
      <c r="C16" s="810"/>
      <c r="D16" s="810"/>
      <c r="E16" s="810"/>
      <c r="F16" s="810"/>
      <c r="G16" s="165"/>
      <c r="H16" s="165"/>
      <c r="I16" s="165"/>
      <c r="J16" s="165"/>
      <c r="K16" s="165"/>
      <c r="L16" s="728"/>
    </row>
    <row r="17" spans="2:12">
      <c r="B17" s="163" t="s">
        <v>346</v>
      </c>
      <c r="C17" s="162" t="s">
        <v>1657</v>
      </c>
      <c r="D17" s="162"/>
      <c r="E17" s="162"/>
      <c r="F17" s="162"/>
      <c r="G17" s="162"/>
      <c r="H17" s="162"/>
      <c r="I17" s="162"/>
      <c r="J17" s="162"/>
      <c r="K17" s="162"/>
      <c r="L17" s="728"/>
    </row>
    <row r="18" spans="2:12">
      <c r="B18" s="163" t="s">
        <v>352</v>
      </c>
      <c r="C18" s="162" t="s">
        <v>1658</v>
      </c>
      <c r="D18" s="162"/>
      <c r="E18" s="162"/>
      <c r="F18" s="162"/>
      <c r="G18" s="162"/>
      <c r="H18" s="162"/>
      <c r="I18" s="162"/>
      <c r="J18" s="162"/>
      <c r="K18" s="162"/>
      <c r="L18" s="728"/>
    </row>
    <row r="19" spans="2:12">
      <c r="B19" s="164"/>
      <c r="C19" s="162" t="s">
        <v>1659</v>
      </c>
      <c r="D19" s="162"/>
      <c r="E19" s="162"/>
      <c r="F19" s="162"/>
      <c r="G19" s="162"/>
      <c r="H19" s="162"/>
      <c r="I19" s="162"/>
      <c r="J19" s="162"/>
      <c r="K19" s="162"/>
      <c r="L19" s="728"/>
    </row>
    <row r="20" spans="2:12">
      <c r="B20" s="164"/>
      <c r="C20" s="162" t="s">
        <v>1660</v>
      </c>
      <c r="D20" s="162"/>
      <c r="E20" s="162"/>
      <c r="F20" s="162"/>
      <c r="G20" s="162"/>
      <c r="H20" s="162"/>
      <c r="I20" s="162"/>
      <c r="J20" s="162"/>
      <c r="K20" s="162"/>
      <c r="L20" s="728"/>
    </row>
    <row r="21" spans="2:12">
      <c r="B21" s="164"/>
      <c r="C21" s="162" t="s">
        <v>1661</v>
      </c>
      <c r="D21" s="162"/>
      <c r="E21" s="162"/>
      <c r="F21" s="162"/>
      <c r="G21" s="162"/>
      <c r="H21" s="162"/>
      <c r="I21" s="162"/>
      <c r="J21" s="162"/>
      <c r="K21" s="162"/>
      <c r="L21" s="728"/>
    </row>
    <row r="22" spans="2:12">
      <c r="B22" s="163" t="s">
        <v>355</v>
      </c>
      <c r="C22" s="162" t="s">
        <v>1662</v>
      </c>
      <c r="D22" s="162"/>
      <c r="E22" s="162"/>
      <c r="F22" s="162"/>
      <c r="G22" s="162"/>
      <c r="H22" s="162"/>
      <c r="I22" s="162"/>
      <c r="J22" s="162"/>
      <c r="K22" s="162"/>
      <c r="L22" s="728"/>
    </row>
    <row r="23" spans="2:12">
      <c r="B23" s="163" t="s">
        <v>358</v>
      </c>
      <c r="C23" s="162" t="s">
        <v>1663</v>
      </c>
      <c r="D23" s="162"/>
      <c r="E23" s="162"/>
      <c r="F23" s="162"/>
      <c r="G23" s="162"/>
      <c r="H23" s="162"/>
      <c r="I23" s="162"/>
      <c r="J23" s="162"/>
      <c r="K23" s="162"/>
      <c r="L23" s="728"/>
    </row>
    <row r="24" spans="2:12">
      <c r="B24" s="164"/>
      <c r="C24" s="162" t="s">
        <v>1664</v>
      </c>
      <c r="D24" s="162"/>
      <c r="E24" s="162"/>
      <c r="F24" s="162"/>
      <c r="G24" s="162"/>
      <c r="H24" s="162"/>
      <c r="I24" s="162"/>
      <c r="J24" s="162"/>
      <c r="K24" s="162"/>
      <c r="L24" s="728"/>
    </row>
    <row r="25" spans="2:12">
      <c r="B25" s="164"/>
      <c r="C25" s="162" t="s">
        <v>1665</v>
      </c>
      <c r="D25" s="162"/>
      <c r="E25" s="162"/>
      <c r="F25" s="162"/>
      <c r="G25" s="162"/>
      <c r="H25" s="162"/>
      <c r="I25" s="162"/>
      <c r="J25" s="162"/>
      <c r="K25" s="162"/>
      <c r="L25" s="728"/>
    </row>
    <row r="26" spans="2:12">
      <c r="B26" s="164"/>
      <c r="C26" s="162" t="s">
        <v>1666</v>
      </c>
      <c r="D26" s="162"/>
      <c r="E26" s="162"/>
      <c r="F26" s="162"/>
      <c r="G26" s="162"/>
      <c r="H26" s="162"/>
      <c r="I26" s="162"/>
      <c r="J26" s="162"/>
      <c r="K26" s="162"/>
      <c r="L26" s="728"/>
    </row>
    <row r="27" spans="2:12" ht="16.5" thickBot="1">
      <c r="B27" s="163" t="s">
        <v>360</v>
      </c>
      <c r="C27" s="162" t="s">
        <v>1667</v>
      </c>
      <c r="D27" s="162"/>
      <c r="E27" s="162"/>
      <c r="F27" s="162"/>
      <c r="G27" s="162"/>
      <c r="H27" s="162"/>
      <c r="I27" s="162"/>
      <c r="J27" s="162"/>
      <c r="K27" s="162"/>
      <c r="L27" s="728"/>
    </row>
    <row r="28" spans="2:12" ht="48" thickTop="1">
      <c r="B28" s="163" t="s">
        <v>441</v>
      </c>
      <c r="C28" s="162" t="s">
        <v>1668</v>
      </c>
      <c r="D28" s="162"/>
      <c r="E28" s="162"/>
      <c r="F28" s="162"/>
      <c r="G28" s="162"/>
      <c r="H28" s="162"/>
      <c r="I28" s="162"/>
      <c r="J28" s="811" t="s">
        <v>650</v>
      </c>
      <c r="K28" s="812" t="s">
        <v>1669</v>
      </c>
      <c r="L28" s="728"/>
    </row>
    <row r="29" spans="2:12">
      <c r="B29" s="164"/>
      <c r="C29" s="162" t="s">
        <v>1670</v>
      </c>
      <c r="D29" s="162"/>
      <c r="E29" s="162"/>
      <c r="F29" s="162"/>
      <c r="G29" s="162"/>
      <c r="H29" s="162"/>
      <c r="I29" s="162"/>
      <c r="J29" s="826">
        <f>COUNTIF(C4:C13,"VN")</f>
        <v>4</v>
      </c>
      <c r="K29" s="813">
        <v>4</v>
      </c>
      <c r="L29" s="728"/>
    </row>
    <row r="30" spans="2:12">
      <c r="B30" s="164"/>
      <c r="C30" s="162" t="s">
        <v>1671</v>
      </c>
      <c r="D30" s="162"/>
      <c r="E30" s="162"/>
      <c r="F30" s="162"/>
      <c r="G30" s="162"/>
      <c r="H30" s="162"/>
      <c r="I30" s="162"/>
      <c r="J30" s="827">
        <f>COUNTIF($C$4:$C$13,"VN")/(COUNTIF($C$4:$C$13,"ANH")+COUNTIF($C$4:$C$13,"NHẬT")+COUNTIF($C$4:$C$13,"Mỹ")+COUNTIF($C$4:$C$13,"Hà Lan")+COUNTIF($C$4:$C$13,C10))</f>
        <v>0.66666666666666663</v>
      </c>
      <c r="K30" s="814">
        <v>0.66666666666666663</v>
      </c>
      <c r="L30" s="728"/>
    </row>
    <row r="31" spans="2:12">
      <c r="B31" s="164"/>
      <c r="C31" s="162" t="s">
        <v>1672</v>
      </c>
      <c r="D31" s="162"/>
      <c r="E31" s="162"/>
      <c r="F31" s="162"/>
      <c r="G31" s="162"/>
      <c r="H31" s="162"/>
      <c r="I31" s="162"/>
      <c r="J31" s="826">
        <f>SUM($F$4:$F$13)-SUMIF($C$4:$C$13,"VN",$F$4:$F$13)</f>
        <v>126</v>
      </c>
      <c r="K31" s="813">
        <v>126</v>
      </c>
      <c r="L31" s="728"/>
    </row>
    <row r="32" spans="2:12">
      <c r="B32" s="164"/>
      <c r="C32" s="162" t="s">
        <v>1673</v>
      </c>
      <c r="D32" s="162"/>
      <c r="E32" s="162"/>
      <c r="F32" s="162"/>
      <c r="G32" s="162"/>
      <c r="H32" s="162"/>
      <c r="I32" s="162"/>
      <c r="J32" s="826">
        <f>COUNTIF($B$4:$B$13,"H*")</f>
        <v>2</v>
      </c>
      <c r="K32" s="813">
        <v>2</v>
      </c>
      <c r="L32" s="728"/>
    </row>
    <row r="33" spans="2:12">
      <c r="B33" s="164"/>
      <c r="C33" s="162" t="s">
        <v>1674</v>
      </c>
      <c r="D33" s="162"/>
      <c r="E33" s="162"/>
      <c r="F33" s="162"/>
      <c r="G33" s="162"/>
      <c r="H33" s="162"/>
      <c r="I33" s="162"/>
      <c r="J33" s="826">
        <f>COUNTIF($F$4:$F$13,"&lt;=10")</f>
        <v>1</v>
      </c>
      <c r="K33" s="813">
        <v>1</v>
      </c>
      <c r="L33" s="728"/>
    </row>
    <row r="34" spans="2:12">
      <c r="B34" s="164"/>
      <c r="C34" s="162" t="s">
        <v>1675</v>
      </c>
      <c r="D34" s="162"/>
      <c r="E34" s="162"/>
      <c r="F34" s="162"/>
      <c r="G34" s="162"/>
      <c r="H34" s="162"/>
      <c r="I34" s="162"/>
      <c r="J34" s="826">
        <f>COUNTIF($G$4:$G$13,"A")</f>
        <v>3</v>
      </c>
      <c r="K34" s="813">
        <v>3</v>
      </c>
      <c r="L34" s="728"/>
    </row>
    <row r="35" spans="2:12" ht="16.5" thickBot="1">
      <c r="B35" s="164"/>
      <c r="C35" s="162" t="s">
        <v>1676</v>
      </c>
      <c r="D35" s="162"/>
      <c r="E35" s="162"/>
      <c r="F35" s="162"/>
      <c r="G35" s="162"/>
      <c r="H35" s="162"/>
      <c r="I35" s="162"/>
      <c r="J35" s="828">
        <f>SUMIF($C$4:$C$13,"VN",$K$4:$K$13)/(SUM($K$4:$K$13)-SUMIF($C$4:$C$13,"VN",$K$4:$K$13))</f>
        <v>1.1613791105316529</v>
      </c>
      <c r="K35" s="815">
        <v>1.1613791105316529</v>
      </c>
      <c r="L35" s="728"/>
    </row>
    <row r="36" spans="2:12" ht="17.25" thickTop="1" thickBot="1">
      <c r="B36" s="163" t="s">
        <v>658</v>
      </c>
      <c r="C36" s="162" t="s">
        <v>1677</v>
      </c>
      <c r="D36" s="162"/>
      <c r="E36" s="162"/>
      <c r="F36" s="162"/>
      <c r="G36" s="162"/>
      <c r="H36" s="162"/>
      <c r="I36" s="162"/>
      <c r="J36" s="162"/>
      <c r="K36" s="162"/>
      <c r="L36" s="728"/>
    </row>
    <row r="37" spans="2:12" ht="48" thickTop="1">
      <c r="B37" s="164"/>
      <c r="C37" s="816" t="s">
        <v>1678</v>
      </c>
      <c r="D37" s="817" t="s">
        <v>1679</v>
      </c>
      <c r="E37" s="817" t="s">
        <v>1680</v>
      </c>
      <c r="F37" s="817" t="s">
        <v>1681</v>
      </c>
      <c r="G37" s="818" t="s">
        <v>1682</v>
      </c>
      <c r="H37" s="162"/>
      <c r="I37" s="162"/>
      <c r="J37" s="162"/>
      <c r="K37" s="162"/>
      <c r="L37" s="728"/>
    </row>
    <row r="38" spans="2:12">
      <c r="B38" s="164"/>
      <c r="C38" s="819" t="s">
        <v>1139</v>
      </c>
      <c r="D38" s="832">
        <f>SUMIF($G$4:$G$13,C38,$F$4:$F$13)</f>
        <v>37</v>
      </c>
      <c r="E38" s="832">
        <f>SUMIF($G$4:$G$13,C38,$I$4:$I$13)</f>
        <v>1850000</v>
      </c>
      <c r="F38" s="832">
        <f>SUMIF($G$4:$G$13,C38,$J$4:$J$13)</f>
        <v>0</v>
      </c>
      <c r="G38" s="833">
        <f>SUMIF($G$4:$G$13,C38,$K$4:$K$13)</f>
        <v>1850000</v>
      </c>
      <c r="H38" s="162"/>
      <c r="I38" s="162"/>
      <c r="J38" s="162"/>
      <c r="K38" s="162"/>
      <c r="L38" s="728"/>
    </row>
    <row r="39" spans="2:12">
      <c r="B39" s="164"/>
      <c r="C39" s="819" t="s">
        <v>1140</v>
      </c>
      <c r="D39" s="832">
        <f>SUMIF($G$4:$G$13,C39,$F$4:$F$13)</f>
        <v>138</v>
      </c>
      <c r="E39" s="832">
        <f>SUMIF($G$4:$G$13,C39,$I$4:$I$13)</f>
        <v>4140000</v>
      </c>
      <c r="F39" s="832">
        <f>SUMIF($G$4:$G$13,C39,$J$4:$J$13)</f>
        <v>189000</v>
      </c>
      <c r="G39" s="833">
        <f>SUMIF($G$4:$G$13,C39,$K$4:$K$13)</f>
        <v>3951000</v>
      </c>
      <c r="H39" s="162"/>
      <c r="I39" s="162"/>
      <c r="J39" s="162"/>
      <c r="K39" s="162"/>
      <c r="L39" s="728"/>
    </row>
    <row r="40" spans="2:12">
      <c r="B40" s="164"/>
      <c r="C40" s="819" t="s">
        <v>1141</v>
      </c>
      <c r="D40" s="832">
        <f>SUMIF($G$4:$G$13,C40,$F$4:$F$13)</f>
        <v>89</v>
      </c>
      <c r="E40" s="832">
        <f>SUMIF($G$4:$G$13,C40,$I$4:$I$13)</f>
        <v>1780000</v>
      </c>
      <c r="F40" s="832">
        <f>SUMIF($G$4:$G$13,C40,$J$4:$J$13)</f>
        <v>121000</v>
      </c>
      <c r="G40" s="833">
        <f>SUMIF($G$4:$G$13,C40,$K$4:$K$13)</f>
        <v>1659000</v>
      </c>
      <c r="H40" s="162"/>
      <c r="I40" s="162"/>
      <c r="J40" s="162"/>
      <c r="K40" s="162"/>
      <c r="L40" s="728"/>
    </row>
    <row r="41" spans="2:12" ht="16.5" thickBot="1">
      <c r="B41" s="164"/>
      <c r="C41" s="831" t="s">
        <v>335</v>
      </c>
      <c r="D41" s="834">
        <f>SUM(D38:D40)</f>
        <v>264</v>
      </c>
      <c r="E41" s="834">
        <f>SUM(E38:E40)</f>
        <v>7770000</v>
      </c>
      <c r="F41" s="834">
        <f>SUM(F38:F40)</f>
        <v>310000</v>
      </c>
      <c r="G41" s="835">
        <f>SUM(G38:G40)</f>
        <v>7460000</v>
      </c>
      <c r="H41" s="162"/>
      <c r="I41" s="162"/>
      <c r="J41" s="162"/>
      <c r="K41" s="162"/>
      <c r="L41" s="728"/>
    </row>
    <row r="42" spans="2:12" ht="43.5" customHeight="1" thickTop="1">
      <c r="C42" s="836" t="s">
        <v>365</v>
      </c>
      <c r="D42" s="820">
        <v>264</v>
      </c>
      <c r="E42" s="820">
        <v>7770000</v>
      </c>
      <c r="F42" s="820">
        <v>310000</v>
      </c>
      <c r="G42" s="820">
        <v>7460000</v>
      </c>
      <c r="H42" s="162"/>
      <c r="I42" s="162"/>
      <c r="J42" s="162"/>
      <c r="K42" s="162"/>
      <c r="L42" s="728"/>
    </row>
    <row r="48" spans="2:12"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sheetData>
  <mergeCells count="3">
    <mergeCell ref="B15:H15"/>
    <mergeCell ref="B2:K2"/>
    <mergeCell ref="B14:H14"/>
  </mergeCells>
  <phoneticPr fontId="178"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A1154-BAB2-457C-B294-0B1388588714}">
  <dimension ref="A1:J34"/>
  <sheetViews>
    <sheetView workbookViewId="0">
      <selection activeCell="J1" sqref="J1"/>
    </sheetView>
  </sheetViews>
  <sheetFormatPr defaultRowHeight="15.75"/>
  <cols>
    <col min="1" max="1" width="9.42578125" style="145" customWidth="1"/>
    <col min="2" max="2" width="13.5703125" style="145" customWidth="1"/>
    <col min="3" max="3" width="22.140625" style="145" customWidth="1"/>
    <col min="4" max="4" width="17.140625" style="145" customWidth="1"/>
    <col min="5" max="5" width="16.7109375" style="145" customWidth="1"/>
    <col min="6" max="6" width="17" style="145" customWidth="1"/>
    <col min="7" max="7" width="14.7109375" style="145" bestFit="1" customWidth="1"/>
    <col min="8" max="8" width="11.85546875" style="145" customWidth="1"/>
    <col min="9" max="9" width="11.28515625" style="145" bestFit="1" customWidth="1"/>
    <col min="10" max="16384" width="9.140625" style="145"/>
  </cols>
  <sheetData>
    <row r="1" spans="1:10">
      <c r="A1" s="334" t="s">
        <v>324</v>
      </c>
      <c r="J1" s="145" t="s">
        <v>1991</v>
      </c>
    </row>
    <row r="2" spans="1:10">
      <c r="B2" s="1208" t="s">
        <v>366</v>
      </c>
      <c r="C2" s="1209"/>
      <c r="D2" s="1209"/>
      <c r="E2" s="1209"/>
      <c r="F2" s="1209"/>
      <c r="G2" s="1209"/>
      <c r="H2" s="1210"/>
    </row>
    <row r="3" spans="1:10">
      <c r="B3" s="803" t="s">
        <v>387</v>
      </c>
      <c r="C3" s="803" t="s">
        <v>1683</v>
      </c>
      <c r="D3" s="803" t="s">
        <v>369</v>
      </c>
      <c r="E3" s="803" t="s">
        <v>370</v>
      </c>
      <c r="F3" s="803" t="s">
        <v>371</v>
      </c>
      <c r="G3" s="803" t="s">
        <v>1684</v>
      </c>
      <c r="H3" s="803" t="s">
        <v>374</v>
      </c>
    </row>
    <row r="4" spans="1:10">
      <c r="B4" s="101" t="s">
        <v>1685</v>
      </c>
      <c r="C4" s="101" t="s">
        <v>1686</v>
      </c>
      <c r="D4" s="147">
        <v>39092</v>
      </c>
      <c r="E4" s="147">
        <v>39109</v>
      </c>
      <c r="F4" s="670">
        <f t="shared" ref="F4:F9" si="0">E4-D4</f>
        <v>17</v>
      </c>
      <c r="G4" s="837">
        <f t="shared" ref="G4:G9" si="1">VLOOKUP(C4,$C$15:$D$18,2,0)</f>
        <v>400000</v>
      </c>
      <c r="H4" s="837">
        <f t="shared" ref="H4:H9" si="2">(INT((E4-D4-WEEKDAY(E4)+8)/7)+F4)*G4</f>
        <v>7600000</v>
      </c>
      <c r="I4" s="838"/>
    </row>
    <row r="5" spans="1:10">
      <c r="B5" s="101" t="s">
        <v>1533</v>
      </c>
      <c r="C5" s="101" t="s">
        <v>1687</v>
      </c>
      <c r="D5" s="147">
        <v>39115</v>
      </c>
      <c r="E5" s="147">
        <v>39145</v>
      </c>
      <c r="F5" s="670">
        <f t="shared" si="0"/>
        <v>30</v>
      </c>
      <c r="G5" s="837">
        <f t="shared" si="1"/>
        <v>300000</v>
      </c>
      <c r="H5" s="837">
        <f t="shared" si="2"/>
        <v>10500000</v>
      </c>
      <c r="I5" s="838"/>
    </row>
    <row r="6" spans="1:10">
      <c r="B6" s="101" t="s">
        <v>1003</v>
      </c>
      <c r="C6" s="101" t="s">
        <v>1688</v>
      </c>
      <c r="D6" s="147">
        <v>39182</v>
      </c>
      <c r="E6" s="147">
        <v>39197</v>
      </c>
      <c r="F6" s="670">
        <f t="shared" si="0"/>
        <v>15</v>
      </c>
      <c r="G6" s="837">
        <f t="shared" si="1"/>
        <v>200000</v>
      </c>
      <c r="H6" s="837">
        <f t="shared" si="2"/>
        <v>3400000</v>
      </c>
      <c r="I6" s="838"/>
    </row>
    <row r="7" spans="1:10">
      <c r="B7" s="101" t="s">
        <v>415</v>
      </c>
      <c r="C7" s="101" t="s">
        <v>1689</v>
      </c>
      <c r="D7" s="147">
        <v>39222</v>
      </c>
      <c r="E7" s="147">
        <v>39227</v>
      </c>
      <c r="F7" s="670">
        <f t="shared" si="0"/>
        <v>5</v>
      </c>
      <c r="G7" s="837">
        <f t="shared" si="1"/>
        <v>450000</v>
      </c>
      <c r="H7" s="837">
        <f t="shared" si="2"/>
        <v>2700000</v>
      </c>
      <c r="I7" s="838"/>
    </row>
    <row r="8" spans="1:10">
      <c r="B8" s="101" t="s">
        <v>1307</v>
      </c>
      <c r="C8" s="101" t="s">
        <v>1686</v>
      </c>
      <c r="D8" s="147">
        <v>39224</v>
      </c>
      <c r="E8" s="147">
        <v>39245</v>
      </c>
      <c r="F8" s="670">
        <f t="shared" si="0"/>
        <v>21</v>
      </c>
      <c r="G8" s="837">
        <f t="shared" si="1"/>
        <v>400000</v>
      </c>
      <c r="H8" s="837">
        <f t="shared" si="2"/>
        <v>9600000</v>
      </c>
      <c r="I8" s="838"/>
    </row>
    <row r="9" spans="1:10">
      <c r="B9" s="101" t="s">
        <v>454</v>
      </c>
      <c r="C9" s="101" t="s">
        <v>1688</v>
      </c>
      <c r="D9" s="147">
        <v>39246</v>
      </c>
      <c r="E9" s="147">
        <v>39249</v>
      </c>
      <c r="F9" s="670">
        <f t="shared" si="0"/>
        <v>3</v>
      </c>
      <c r="G9" s="837">
        <f t="shared" si="1"/>
        <v>200000</v>
      </c>
      <c r="H9" s="837">
        <f t="shared" si="2"/>
        <v>600000</v>
      </c>
      <c r="I9" s="838"/>
    </row>
    <row r="10" spans="1:10">
      <c r="B10" s="1211" t="s">
        <v>335</v>
      </c>
      <c r="C10" s="1211"/>
      <c r="D10" s="1211"/>
      <c r="E10" s="1211"/>
      <c r="F10" s="839">
        <f>SUM(F4:F9)</f>
        <v>91</v>
      </c>
      <c r="G10" s="839"/>
      <c r="H10" s="839">
        <f>SUM(H4:H9)</f>
        <v>34400000</v>
      </c>
    </row>
    <row r="11" spans="1:10">
      <c r="B11" s="1212" t="s">
        <v>336</v>
      </c>
      <c r="C11" s="1213"/>
      <c r="D11" s="1213"/>
      <c r="E11" s="1214"/>
      <c r="F11" s="840">
        <v>91</v>
      </c>
      <c r="G11" s="840"/>
      <c r="H11" s="841">
        <v>34400000</v>
      </c>
    </row>
    <row r="12" spans="1:10">
      <c r="A12" s="334" t="s">
        <v>337</v>
      </c>
      <c r="B12" s="808"/>
      <c r="C12" s="808"/>
      <c r="D12" s="808"/>
      <c r="E12" s="155"/>
      <c r="F12" s="155"/>
      <c r="G12" s="155"/>
      <c r="H12" s="155"/>
    </row>
    <row r="13" spans="1:10">
      <c r="B13" s="808"/>
      <c r="C13" s="1215" t="s">
        <v>1690</v>
      </c>
      <c r="D13" s="1215"/>
      <c r="E13" s="155"/>
      <c r="F13" s="842"/>
      <c r="G13" s="155"/>
      <c r="H13" s="155"/>
    </row>
    <row r="14" spans="1:10" ht="31.5">
      <c r="B14" s="808"/>
      <c r="C14" s="843" t="s">
        <v>1683</v>
      </c>
      <c r="D14" s="217" t="s">
        <v>1691</v>
      </c>
      <c r="E14" s="155"/>
      <c r="F14" s="842"/>
      <c r="G14" s="155"/>
      <c r="H14" s="155"/>
    </row>
    <row r="15" spans="1:10">
      <c r="B15" s="808"/>
      <c r="C15" s="101" t="s">
        <v>1688</v>
      </c>
      <c r="D15" s="844">
        <v>200000</v>
      </c>
      <c r="E15" s="155"/>
      <c r="F15" s="842"/>
      <c r="G15" s="155"/>
      <c r="H15" s="155"/>
    </row>
    <row r="16" spans="1:10">
      <c r="B16" s="808"/>
      <c r="C16" s="101" t="s">
        <v>1689</v>
      </c>
      <c r="D16" s="844">
        <v>450000</v>
      </c>
      <c r="E16" s="155"/>
      <c r="F16" s="842"/>
      <c r="G16" s="155"/>
      <c r="H16" s="155"/>
    </row>
    <row r="17" spans="1:9">
      <c r="B17" s="808"/>
      <c r="C17" s="101" t="s">
        <v>1687</v>
      </c>
      <c r="D17" s="844">
        <v>300000</v>
      </c>
      <c r="E17" s="155"/>
      <c r="F17" s="155"/>
      <c r="G17" s="155"/>
      <c r="H17" s="155"/>
    </row>
    <row r="18" spans="1:9">
      <c r="B18" s="808"/>
      <c r="C18" s="101" t="s">
        <v>1686</v>
      </c>
      <c r="D18" s="844">
        <v>400000</v>
      </c>
      <c r="E18" s="155"/>
      <c r="F18" s="155"/>
      <c r="G18" s="155"/>
      <c r="H18" s="155"/>
    </row>
    <row r="19" spans="1:9">
      <c r="A19" s="161" t="s">
        <v>345</v>
      </c>
      <c r="B19" s="162"/>
      <c r="C19" s="162"/>
      <c r="D19" s="162"/>
      <c r="E19" s="162"/>
      <c r="F19" s="162"/>
      <c r="G19" s="162"/>
      <c r="H19" s="162"/>
      <c r="I19" s="162"/>
    </row>
    <row r="20" spans="1:9">
      <c r="A20" s="163" t="s">
        <v>346</v>
      </c>
      <c r="B20" s="162" t="s">
        <v>1692</v>
      </c>
      <c r="C20" s="162"/>
      <c r="D20" s="162"/>
      <c r="E20" s="162"/>
      <c r="F20" s="162"/>
      <c r="G20" s="162"/>
      <c r="H20" s="162"/>
      <c r="I20" s="162"/>
    </row>
    <row r="21" spans="1:9">
      <c r="A21" s="163" t="s">
        <v>352</v>
      </c>
      <c r="B21" s="162" t="s">
        <v>1693</v>
      </c>
      <c r="C21" s="162"/>
      <c r="D21" s="162"/>
      <c r="E21" s="162"/>
      <c r="F21" s="162"/>
      <c r="G21" s="162"/>
      <c r="H21" s="162"/>
      <c r="I21" s="162"/>
    </row>
    <row r="22" spans="1:9">
      <c r="A22" s="163" t="s">
        <v>355</v>
      </c>
      <c r="B22" s="162" t="s">
        <v>1694</v>
      </c>
      <c r="C22" s="162"/>
      <c r="D22" s="162"/>
      <c r="E22" s="162"/>
      <c r="F22" s="162"/>
      <c r="G22" s="162"/>
      <c r="H22" s="162"/>
      <c r="I22" s="162"/>
    </row>
    <row r="23" spans="1:9">
      <c r="A23" s="163"/>
      <c r="B23" s="845" t="s">
        <v>1695</v>
      </c>
      <c r="C23" s="162"/>
      <c r="D23" s="162"/>
      <c r="E23" s="162"/>
      <c r="F23" s="162"/>
      <c r="G23" s="162"/>
      <c r="H23" s="162"/>
      <c r="I23" s="162"/>
    </row>
    <row r="24" spans="1:9">
      <c r="A24" s="163" t="s">
        <v>358</v>
      </c>
      <c r="B24" s="162" t="s">
        <v>1696</v>
      </c>
      <c r="C24" s="162"/>
      <c r="D24" s="162"/>
      <c r="E24" s="162"/>
      <c r="F24" s="162"/>
      <c r="G24" s="162"/>
      <c r="H24" s="162"/>
      <c r="I24" s="162"/>
    </row>
    <row r="25" spans="1:9">
      <c r="A25" s="163" t="s">
        <v>360</v>
      </c>
      <c r="B25" s="162" t="s">
        <v>1697</v>
      </c>
      <c r="C25" s="162"/>
      <c r="D25" s="162"/>
      <c r="E25" s="162"/>
      <c r="F25" s="162"/>
      <c r="G25" s="162"/>
      <c r="H25" s="162"/>
      <c r="I25" s="162"/>
    </row>
    <row r="26" spans="1:9" s="728" customFormat="1">
      <c r="A26" s="846"/>
      <c r="B26" s="847"/>
      <c r="C26" s="848"/>
      <c r="D26" s="848"/>
      <c r="E26" s="848"/>
    </row>
    <row r="27" spans="1:9">
      <c r="A27" s="849"/>
      <c r="B27" s="201"/>
      <c r="C27" s="1207" t="s">
        <v>825</v>
      </c>
      <c r="D27" s="1207"/>
      <c r="E27" s="1207"/>
    </row>
    <row r="28" spans="1:9">
      <c r="A28" s="849"/>
      <c r="B28" s="201"/>
      <c r="C28" s="850" t="s">
        <v>1683</v>
      </c>
      <c r="D28" s="850" t="s">
        <v>1698</v>
      </c>
      <c r="E28" s="850" t="s">
        <v>1699</v>
      </c>
    </row>
    <row r="29" spans="1:9">
      <c r="A29" s="201"/>
      <c r="B29" s="201"/>
      <c r="C29" s="101" t="s">
        <v>1687</v>
      </c>
      <c r="D29" s="675">
        <f>SUMIF($C$4:$C$9,C29,$F$4:$F$9)</f>
        <v>30</v>
      </c>
      <c r="E29" s="837">
        <f>SUMIF($C$4:$C$9,C29,$H$4:$H$9)</f>
        <v>10500000</v>
      </c>
    </row>
    <row r="30" spans="1:9">
      <c r="A30" s="201"/>
      <c r="B30" s="201"/>
      <c r="C30" s="101" t="s">
        <v>1689</v>
      </c>
      <c r="D30" s="675">
        <f>SUMIF($C$4:$C$9,C30,$F$4:$F$9)</f>
        <v>5</v>
      </c>
      <c r="E30" s="837">
        <f>SUMIF($C$4:$C$9,C30,$H$4:$H$9)</f>
        <v>2700000</v>
      </c>
    </row>
    <row r="31" spans="1:9">
      <c r="A31" s="201"/>
      <c r="B31" s="201"/>
      <c r="C31" s="101" t="s">
        <v>1688</v>
      </c>
      <c r="D31" s="675">
        <f>SUMIF($C$4:$C$9,C31,$F$4:$F$9)</f>
        <v>18</v>
      </c>
      <c r="E31" s="837">
        <f>SUMIF($C$4:$C$9,C31,$H$4:$H$9)</f>
        <v>4000000</v>
      </c>
    </row>
    <row r="32" spans="1:9">
      <c r="A32" s="201"/>
      <c r="B32" s="201"/>
      <c r="C32" s="101" t="s">
        <v>1686</v>
      </c>
      <c r="D32" s="675">
        <f>SUMIF($C$4:$C$9,C32,$F$4:$F$9)</f>
        <v>38</v>
      </c>
      <c r="E32" s="837">
        <f>SUMIF($C$4:$C$9,C32,$H$4:$H$9)</f>
        <v>17200000</v>
      </c>
    </row>
    <row r="33" spans="1:5">
      <c r="A33" s="201"/>
      <c r="B33" s="201"/>
      <c r="C33" s="851" t="s">
        <v>335</v>
      </c>
      <c r="D33" s="762">
        <f>SUM(D29:D32)</f>
        <v>91</v>
      </c>
      <c r="E33" s="852">
        <f>SUM(E29:E32)</f>
        <v>34400000</v>
      </c>
    </row>
    <row r="34" spans="1:5">
      <c r="B34" s="853"/>
      <c r="C34" s="854" t="s">
        <v>336</v>
      </c>
      <c r="D34" s="855">
        <v>91</v>
      </c>
      <c r="E34" s="855">
        <v>34400000</v>
      </c>
    </row>
  </sheetData>
  <mergeCells count="5">
    <mergeCell ref="C27:E27"/>
    <mergeCell ref="B2:H2"/>
    <mergeCell ref="B10:E10"/>
    <mergeCell ref="B11:E11"/>
    <mergeCell ref="C13:D13"/>
  </mergeCells>
  <phoneticPr fontId="178"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F8916-E0DA-4467-8366-BEE68DCD5537}">
  <dimension ref="B1:Q34"/>
  <sheetViews>
    <sheetView workbookViewId="0">
      <selection activeCell="N1" sqref="N1"/>
    </sheetView>
  </sheetViews>
  <sheetFormatPr defaultRowHeight="15.75"/>
  <cols>
    <col min="1" max="1" width="9.140625" style="145"/>
    <col min="2" max="2" width="14.42578125" style="145" customWidth="1"/>
    <col min="3" max="3" width="10.85546875" style="145" customWidth="1"/>
    <col min="4" max="4" width="12.140625" style="145" customWidth="1"/>
    <col min="5" max="5" width="10.28515625" style="145" bestFit="1" customWidth="1"/>
    <col min="6" max="6" width="12.140625" style="145" customWidth="1"/>
    <col min="7" max="7" width="11.7109375" style="145" customWidth="1"/>
    <col min="8" max="8" width="12.85546875" style="145" customWidth="1"/>
    <col min="9" max="9" width="10.7109375" style="145" customWidth="1"/>
    <col min="10" max="10" width="10.5703125" style="145" customWidth="1"/>
    <col min="11" max="12" width="10.28515625" style="145" customWidth="1"/>
    <col min="13" max="13" width="12.85546875" style="145" customWidth="1"/>
    <col min="14" max="16384" width="9.140625" style="145"/>
  </cols>
  <sheetData>
    <row r="1" spans="2:17">
      <c r="N1" s="886" t="s">
        <v>1991</v>
      </c>
    </row>
    <row r="2" spans="2:17">
      <c r="B2" s="1201" t="s">
        <v>1700</v>
      </c>
      <c r="C2" s="1216"/>
      <c r="D2" s="1216"/>
      <c r="E2" s="1216"/>
      <c r="F2" s="1216"/>
      <c r="G2" s="1216"/>
      <c r="H2" s="1216"/>
      <c r="I2" s="1216"/>
      <c r="J2" s="1216"/>
      <c r="K2" s="1216"/>
      <c r="L2" s="1202"/>
    </row>
    <row r="3" spans="2:17" ht="47.25">
      <c r="B3" s="861" t="s">
        <v>1701</v>
      </c>
      <c r="C3" s="861" t="s">
        <v>1702</v>
      </c>
      <c r="D3" s="861" t="s">
        <v>1703</v>
      </c>
      <c r="E3" s="861" t="s">
        <v>1704</v>
      </c>
      <c r="F3" s="862" t="s">
        <v>1292</v>
      </c>
      <c r="G3" s="862" t="s">
        <v>1144</v>
      </c>
      <c r="H3" s="862" t="s">
        <v>449</v>
      </c>
      <c r="I3" s="861" t="s">
        <v>1705</v>
      </c>
      <c r="J3" s="861" t="s">
        <v>1580</v>
      </c>
      <c r="K3" s="861" t="s">
        <v>1581</v>
      </c>
      <c r="L3" s="217" t="s">
        <v>365</v>
      </c>
      <c r="M3" s="863"/>
      <c r="N3" s="201"/>
      <c r="O3" s="201"/>
      <c r="P3" s="201"/>
      <c r="Q3" s="201"/>
    </row>
    <row r="4" spans="2:17">
      <c r="B4" s="413" t="s">
        <v>122</v>
      </c>
      <c r="C4" s="413" t="s">
        <v>1003</v>
      </c>
      <c r="D4" s="413" t="s">
        <v>1139</v>
      </c>
      <c r="E4" s="413" t="s">
        <v>1381</v>
      </c>
      <c r="F4" s="864">
        <f t="shared" ref="F4:F9" si="0">VLOOKUP(B4,$B$13:$E$18,2,0)</f>
        <v>3</v>
      </c>
      <c r="G4" s="864">
        <f t="shared" ref="G4:G9" si="1">VLOOKUP(B4,$B$13:$E$18,3,0)</f>
        <v>6</v>
      </c>
      <c r="H4" s="864">
        <f t="shared" ref="H4:H9" si="2">VLOOKUP(B4,$B$13:$E$18,4,0)</f>
        <v>4</v>
      </c>
      <c r="I4" s="864">
        <f t="shared" ref="I4:I9" si="3">IF(E4="CLS",1.5,IF(E4="CTB",1,IF(E4="MN",0.5,0)))</f>
        <v>0</v>
      </c>
      <c r="J4" s="864">
        <f t="shared" ref="J4:J9" si="4">SUM(F4:I4)</f>
        <v>13</v>
      </c>
      <c r="K4" s="864" t="str">
        <f t="shared" ref="K4:K9" si="5">IF(J4&gt;=HLOOKUP(D4,$H$12:$K$13,2,0),"Đậu","Rớt")</f>
        <v>Rớt</v>
      </c>
      <c r="L4" s="865" t="s">
        <v>1089</v>
      </c>
      <c r="M4" s="204"/>
      <c r="N4" s="201"/>
      <c r="O4" s="201"/>
      <c r="P4" s="201"/>
      <c r="Q4" s="201"/>
    </row>
    <row r="5" spans="2:17">
      <c r="B5" s="413" t="s">
        <v>124</v>
      </c>
      <c r="C5" s="413" t="s">
        <v>1706</v>
      </c>
      <c r="D5" s="413" t="s">
        <v>1141</v>
      </c>
      <c r="E5" s="413" t="s">
        <v>1707</v>
      </c>
      <c r="F5" s="864">
        <f t="shared" si="0"/>
        <v>10</v>
      </c>
      <c r="G5" s="864">
        <f t="shared" si="1"/>
        <v>8</v>
      </c>
      <c r="H5" s="864">
        <f t="shared" si="2"/>
        <v>4</v>
      </c>
      <c r="I5" s="864">
        <f t="shared" si="3"/>
        <v>1.5</v>
      </c>
      <c r="J5" s="864">
        <f t="shared" si="4"/>
        <v>23.5</v>
      </c>
      <c r="K5" s="864" t="str">
        <f t="shared" si="5"/>
        <v>Đậu</v>
      </c>
      <c r="L5" s="866" t="s">
        <v>921</v>
      </c>
      <c r="M5" s="204"/>
      <c r="N5" s="201"/>
      <c r="O5" s="201"/>
      <c r="P5" s="201"/>
      <c r="Q5" s="201"/>
    </row>
    <row r="6" spans="2:17">
      <c r="B6" s="413" t="s">
        <v>126</v>
      </c>
      <c r="C6" s="413" t="s">
        <v>1708</v>
      </c>
      <c r="D6" s="413" t="s">
        <v>1140</v>
      </c>
      <c r="E6" s="413" t="s">
        <v>1709</v>
      </c>
      <c r="F6" s="864">
        <f t="shared" si="0"/>
        <v>8</v>
      </c>
      <c r="G6" s="864">
        <f t="shared" si="1"/>
        <v>6</v>
      </c>
      <c r="H6" s="864">
        <f t="shared" si="2"/>
        <v>4</v>
      </c>
      <c r="I6" s="864">
        <f t="shared" si="3"/>
        <v>1</v>
      </c>
      <c r="J6" s="864">
        <f t="shared" si="4"/>
        <v>19</v>
      </c>
      <c r="K6" s="864" t="str">
        <f t="shared" si="5"/>
        <v>Đậu</v>
      </c>
      <c r="L6" s="866" t="s">
        <v>921</v>
      </c>
      <c r="M6" s="204"/>
      <c r="N6" s="201"/>
      <c r="O6" s="201"/>
      <c r="P6" s="201"/>
      <c r="Q6" s="201"/>
    </row>
    <row r="7" spans="2:17">
      <c r="B7" s="413" t="s">
        <v>1621</v>
      </c>
      <c r="C7" s="413" t="s">
        <v>1710</v>
      </c>
      <c r="D7" s="413" t="s">
        <v>1141</v>
      </c>
      <c r="E7" s="413" t="s">
        <v>1709</v>
      </c>
      <c r="F7" s="864">
        <f t="shared" si="0"/>
        <v>7</v>
      </c>
      <c r="G7" s="864">
        <f t="shared" si="1"/>
        <v>0</v>
      </c>
      <c r="H7" s="864">
        <f t="shared" si="2"/>
        <v>1</v>
      </c>
      <c r="I7" s="864">
        <f t="shared" si="3"/>
        <v>1</v>
      </c>
      <c r="J7" s="864">
        <f t="shared" si="4"/>
        <v>9</v>
      </c>
      <c r="K7" s="864" t="str">
        <f t="shared" si="5"/>
        <v>Rớt</v>
      </c>
      <c r="L7" s="865" t="s">
        <v>1089</v>
      </c>
      <c r="M7" s="204"/>
      <c r="N7" s="201"/>
      <c r="O7" s="201"/>
      <c r="P7" s="201"/>
      <c r="Q7" s="201"/>
    </row>
    <row r="8" spans="2:17">
      <c r="B8" s="413" t="s">
        <v>1711</v>
      </c>
      <c r="C8" s="413" t="s">
        <v>1712</v>
      </c>
      <c r="D8" s="413" t="s">
        <v>1141</v>
      </c>
      <c r="E8" s="413" t="s">
        <v>1381</v>
      </c>
      <c r="F8" s="864">
        <f t="shared" si="0"/>
        <v>10</v>
      </c>
      <c r="G8" s="864">
        <f t="shared" si="1"/>
        <v>9</v>
      </c>
      <c r="H8" s="864">
        <f t="shared" si="2"/>
        <v>7</v>
      </c>
      <c r="I8" s="864">
        <f t="shared" si="3"/>
        <v>0</v>
      </c>
      <c r="J8" s="864">
        <f t="shared" si="4"/>
        <v>26</v>
      </c>
      <c r="K8" s="864" t="str">
        <f t="shared" si="5"/>
        <v>Đậu</v>
      </c>
      <c r="L8" s="866" t="s">
        <v>921</v>
      </c>
      <c r="M8" s="204"/>
      <c r="N8" s="201"/>
      <c r="O8" s="201"/>
      <c r="P8" s="201"/>
      <c r="Q8" s="201"/>
    </row>
    <row r="9" spans="2:17">
      <c r="B9" s="413" t="s">
        <v>1713</v>
      </c>
      <c r="C9" s="413" t="s">
        <v>1714</v>
      </c>
      <c r="D9" s="413" t="s">
        <v>1139</v>
      </c>
      <c r="E9" s="413" t="s">
        <v>871</v>
      </c>
      <c r="F9" s="864">
        <f t="shared" si="0"/>
        <v>9</v>
      </c>
      <c r="G9" s="864">
        <f t="shared" si="1"/>
        <v>10</v>
      </c>
      <c r="H9" s="864">
        <f t="shared" si="2"/>
        <v>5</v>
      </c>
      <c r="I9" s="864">
        <f t="shared" si="3"/>
        <v>0.5</v>
      </c>
      <c r="J9" s="864">
        <f t="shared" si="4"/>
        <v>24.5</v>
      </c>
      <c r="K9" s="864" t="str">
        <f t="shared" si="5"/>
        <v>Đậu</v>
      </c>
      <c r="L9" s="866" t="s">
        <v>921</v>
      </c>
      <c r="M9" s="204"/>
      <c r="N9" s="201"/>
      <c r="O9" s="201"/>
      <c r="P9" s="201"/>
      <c r="Q9" s="201"/>
    </row>
    <row r="10" spans="2:17">
      <c r="B10" s="201"/>
      <c r="C10" s="201"/>
      <c r="D10" s="201"/>
      <c r="E10" s="201"/>
      <c r="F10" s="201"/>
      <c r="G10" s="201"/>
      <c r="H10" s="201"/>
      <c r="I10" s="201"/>
      <c r="J10" s="201"/>
      <c r="K10" s="201"/>
      <c r="L10" s="201"/>
      <c r="M10" s="201"/>
      <c r="N10" s="201"/>
      <c r="O10" s="201"/>
      <c r="P10" s="201"/>
      <c r="Q10" s="201"/>
    </row>
    <row r="11" spans="2:17">
      <c r="B11" s="1129" t="s">
        <v>1715</v>
      </c>
      <c r="C11" s="1129"/>
      <c r="D11" s="1129"/>
      <c r="E11" s="1129"/>
      <c r="F11" s="201"/>
      <c r="G11" s="201"/>
      <c r="H11" s="1129" t="s">
        <v>1716</v>
      </c>
      <c r="I11" s="1129"/>
      <c r="J11" s="1129"/>
      <c r="K11" s="1129"/>
      <c r="L11" s="201"/>
      <c r="M11" s="201"/>
      <c r="N11" s="201"/>
      <c r="O11" s="201"/>
      <c r="P11" s="201"/>
      <c r="Q11" s="201"/>
    </row>
    <row r="12" spans="2:17">
      <c r="B12" s="807" t="s">
        <v>1717</v>
      </c>
      <c r="C12" s="867" t="s">
        <v>1292</v>
      </c>
      <c r="D12" s="867" t="s">
        <v>1144</v>
      </c>
      <c r="E12" s="867" t="s">
        <v>449</v>
      </c>
      <c r="F12" s="201"/>
      <c r="G12" s="201"/>
      <c r="H12" s="868" t="s">
        <v>1718</v>
      </c>
      <c r="I12" s="799" t="s">
        <v>1139</v>
      </c>
      <c r="J12" s="799" t="s">
        <v>1140</v>
      </c>
      <c r="K12" s="799" t="s">
        <v>1141</v>
      </c>
      <c r="L12" s="201"/>
      <c r="M12" s="201"/>
      <c r="N12" s="201"/>
      <c r="O12" s="201"/>
      <c r="P12" s="201"/>
      <c r="Q12" s="201"/>
    </row>
    <row r="13" spans="2:17">
      <c r="B13" s="799" t="s">
        <v>1711</v>
      </c>
      <c r="C13" s="799">
        <v>10</v>
      </c>
      <c r="D13" s="799">
        <v>9</v>
      </c>
      <c r="E13" s="799">
        <v>7</v>
      </c>
      <c r="F13" s="201"/>
      <c r="G13" s="201"/>
      <c r="H13" s="868" t="s">
        <v>1719</v>
      </c>
      <c r="I13" s="799">
        <v>16</v>
      </c>
      <c r="J13" s="799">
        <v>17.5</v>
      </c>
      <c r="K13" s="799">
        <v>19</v>
      </c>
      <c r="L13" s="201"/>
      <c r="M13" s="201"/>
      <c r="N13" s="201"/>
      <c r="O13" s="201"/>
      <c r="P13" s="201"/>
      <c r="Q13" s="201"/>
    </row>
    <row r="14" spans="2:17">
      <c r="B14" s="799" t="s">
        <v>124</v>
      </c>
      <c r="C14" s="799">
        <v>10</v>
      </c>
      <c r="D14" s="799">
        <v>8</v>
      </c>
      <c r="E14" s="799">
        <v>4</v>
      </c>
      <c r="F14" s="201"/>
      <c r="G14" s="201"/>
      <c r="H14" s="204"/>
      <c r="I14" s="201"/>
      <c r="J14" s="201"/>
      <c r="K14" s="201"/>
      <c r="L14" s="201"/>
      <c r="M14" s="201"/>
      <c r="N14" s="201"/>
      <c r="O14" s="201"/>
      <c r="P14" s="201"/>
      <c r="Q14" s="201"/>
    </row>
    <row r="15" spans="2:17">
      <c r="B15" s="799" t="s">
        <v>1713</v>
      </c>
      <c r="C15" s="799">
        <v>9</v>
      </c>
      <c r="D15" s="799">
        <v>10</v>
      </c>
      <c r="E15" s="799">
        <v>5</v>
      </c>
      <c r="F15" s="201"/>
      <c r="G15" s="201"/>
      <c r="H15" s="204"/>
      <c r="I15" s="201"/>
      <c r="J15" s="201"/>
      <c r="K15" s="201"/>
      <c r="L15" s="201"/>
      <c r="M15" s="201"/>
      <c r="N15" s="201"/>
      <c r="O15" s="201"/>
      <c r="P15" s="201"/>
      <c r="Q15" s="201"/>
    </row>
    <row r="16" spans="2:17">
      <c r="B16" s="799" t="s">
        <v>1621</v>
      </c>
      <c r="C16" s="799">
        <v>7</v>
      </c>
      <c r="D16" s="799">
        <v>0</v>
      </c>
      <c r="E16" s="799">
        <v>1</v>
      </c>
      <c r="F16" s="201"/>
      <c r="G16" s="201"/>
      <c r="H16" s="201"/>
      <c r="I16" s="201"/>
      <c r="J16" s="201"/>
      <c r="K16" s="201"/>
      <c r="L16" s="201"/>
      <c r="M16" s="201"/>
      <c r="N16" s="201"/>
      <c r="O16" s="201"/>
      <c r="P16" s="201"/>
      <c r="Q16" s="201"/>
    </row>
    <row r="17" spans="2:17">
      <c r="B17" s="799" t="s">
        <v>122</v>
      </c>
      <c r="C17" s="799">
        <v>3</v>
      </c>
      <c r="D17" s="799">
        <v>6</v>
      </c>
      <c r="E17" s="799">
        <v>4</v>
      </c>
      <c r="F17" s="201"/>
      <c r="G17" s="201"/>
      <c r="H17" s="201"/>
      <c r="I17" s="201"/>
      <c r="J17" s="201"/>
      <c r="K17" s="201"/>
      <c r="L17" s="201"/>
      <c r="M17" s="201"/>
      <c r="N17" s="201"/>
      <c r="O17" s="201"/>
      <c r="P17" s="201"/>
      <c r="Q17" s="201"/>
    </row>
    <row r="18" spans="2:17">
      <c r="B18" s="799" t="s">
        <v>126</v>
      </c>
      <c r="C18" s="799">
        <v>8</v>
      </c>
      <c r="D18" s="799">
        <v>6</v>
      </c>
      <c r="E18" s="799">
        <v>4</v>
      </c>
      <c r="F18" s="201"/>
      <c r="G18" s="201"/>
      <c r="H18" s="201"/>
      <c r="I18" s="201"/>
      <c r="J18" s="201"/>
      <c r="K18" s="201"/>
      <c r="L18" s="201"/>
      <c r="M18" s="201"/>
      <c r="N18" s="201"/>
      <c r="O18" s="201"/>
      <c r="P18" s="201"/>
      <c r="Q18" s="201"/>
    </row>
    <row r="19" spans="2:17">
      <c r="B19" s="201"/>
      <c r="C19" s="201"/>
      <c r="D19" s="201"/>
      <c r="E19" s="201"/>
      <c r="F19" s="201"/>
      <c r="G19" s="201"/>
      <c r="H19" s="201"/>
      <c r="I19" s="201"/>
      <c r="J19" s="201"/>
      <c r="K19" s="201"/>
      <c r="L19" s="201"/>
      <c r="M19" s="201"/>
      <c r="N19" s="201"/>
      <c r="O19" s="201"/>
      <c r="P19" s="201"/>
      <c r="Q19" s="201"/>
    </row>
    <row r="20" spans="2:17">
      <c r="B20" s="161" t="s">
        <v>345</v>
      </c>
      <c r="C20" s="869"/>
      <c r="D20" s="869"/>
      <c r="E20" s="869"/>
      <c r="F20" s="869"/>
      <c r="G20" s="869"/>
      <c r="H20" s="869"/>
      <c r="I20" s="869"/>
      <c r="J20" s="869"/>
      <c r="K20" s="869"/>
      <c r="L20" s="201"/>
      <c r="M20" s="201"/>
      <c r="N20" s="201"/>
      <c r="O20" s="201"/>
      <c r="P20" s="201"/>
      <c r="Q20" s="201"/>
    </row>
    <row r="21" spans="2:17">
      <c r="B21" s="163" t="s">
        <v>346</v>
      </c>
      <c r="C21" s="869" t="s">
        <v>1720</v>
      </c>
      <c r="D21" s="869"/>
      <c r="E21" s="869"/>
      <c r="F21" s="869"/>
      <c r="G21" s="869"/>
      <c r="H21" s="869"/>
      <c r="I21" s="869"/>
      <c r="J21" s="869"/>
      <c r="K21" s="869"/>
      <c r="L21" s="201"/>
      <c r="M21" s="201"/>
      <c r="N21" s="201"/>
      <c r="O21" s="201"/>
      <c r="P21" s="201"/>
      <c r="Q21" s="201"/>
    </row>
    <row r="22" spans="2:17">
      <c r="B22" s="167"/>
      <c r="C22" s="870" t="s">
        <v>1721</v>
      </c>
      <c r="D22" s="869"/>
      <c r="E22" s="869"/>
      <c r="F22" s="869"/>
      <c r="G22" s="869"/>
      <c r="H22" s="869"/>
      <c r="I22" s="869"/>
      <c r="J22" s="869"/>
      <c r="K22" s="869"/>
      <c r="L22" s="201"/>
      <c r="M22" s="201"/>
      <c r="N22" s="201"/>
      <c r="O22" s="201"/>
      <c r="P22" s="201"/>
      <c r="Q22" s="201"/>
    </row>
    <row r="23" spans="2:17">
      <c r="B23" s="163" t="s">
        <v>352</v>
      </c>
      <c r="C23" s="869" t="s">
        <v>1722</v>
      </c>
      <c r="D23" s="869"/>
      <c r="E23" s="869"/>
      <c r="F23" s="869"/>
      <c r="G23" s="869"/>
      <c r="H23" s="869"/>
      <c r="I23" s="869"/>
      <c r="J23" s="869"/>
      <c r="K23" s="869"/>
      <c r="L23" s="201"/>
      <c r="M23" s="201"/>
      <c r="N23" s="201"/>
      <c r="O23" s="201"/>
      <c r="P23" s="201"/>
      <c r="Q23" s="201"/>
    </row>
    <row r="24" spans="2:17">
      <c r="B24" s="795"/>
      <c r="C24" s="871" t="s">
        <v>1723</v>
      </c>
      <c r="D24" s="869"/>
      <c r="E24" s="869"/>
      <c r="F24" s="869"/>
      <c r="G24" s="869"/>
      <c r="H24" s="869"/>
      <c r="I24" s="869"/>
      <c r="J24" s="869"/>
      <c r="K24" s="869"/>
      <c r="L24" s="201"/>
      <c r="M24" s="201"/>
      <c r="N24" s="201"/>
      <c r="O24" s="201"/>
      <c r="P24" s="201"/>
      <c r="Q24" s="201"/>
    </row>
    <row r="25" spans="2:17">
      <c r="B25" s="795"/>
      <c r="C25" s="871" t="s">
        <v>1724</v>
      </c>
      <c r="D25" s="869"/>
      <c r="E25" s="869"/>
      <c r="F25" s="869"/>
      <c r="G25" s="869"/>
      <c r="H25" s="869"/>
      <c r="I25" s="869"/>
      <c r="J25" s="869"/>
      <c r="K25" s="869"/>
      <c r="L25" s="201"/>
      <c r="M25" s="201"/>
      <c r="N25" s="201"/>
      <c r="O25" s="201"/>
      <c r="P25" s="201"/>
      <c r="Q25" s="201"/>
    </row>
    <row r="26" spans="2:17">
      <c r="B26" s="795"/>
      <c r="C26" s="871" t="s">
        <v>1725</v>
      </c>
      <c r="D26" s="869"/>
      <c r="E26" s="869"/>
      <c r="F26" s="869"/>
      <c r="G26" s="869"/>
      <c r="H26" s="869"/>
      <c r="I26" s="869"/>
      <c r="J26" s="869"/>
      <c r="K26" s="869"/>
      <c r="L26" s="201"/>
      <c r="M26" s="201"/>
      <c r="N26" s="201"/>
      <c r="O26" s="201"/>
      <c r="P26" s="201"/>
      <c r="Q26" s="201"/>
    </row>
    <row r="27" spans="2:17">
      <c r="B27" s="795"/>
      <c r="C27" s="871" t="s">
        <v>1726</v>
      </c>
      <c r="D27" s="869"/>
      <c r="E27" s="869"/>
      <c r="F27" s="869"/>
      <c r="G27" s="869"/>
      <c r="H27" s="869"/>
      <c r="I27" s="869"/>
      <c r="J27" s="869"/>
      <c r="K27" s="869"/>
      <c r="L27" s="201"/>
      <c r="M27" s="201"/>
      <c r="N27" s="201"/>
      <c r="O27" s="201"/>
      <c r="P27" s="201"/>
      <c r="Q27" s="201"/>
    </row>
    <row r="28" spans="2:17">
      <c r="B28" s="163" t="s">
        <v>355</v>
      </c>
      <c r="C28" s="869" t="s">
        <v>1727</v>
      </c>
      <c r="D28" s="869"/>
      <c r="E28" s="869"/>
      <c r="F28" s="869"/>
      <c r="G28" s="869"/>
      <c r="H28" s="869"/>
      <c r="I28" s="869"/>
      <c r="J28" s="869"/>
      <c r="K28" s="869"/>
      <c r="L28" s="201"/>
      <c r="M28" s="201"/>
      <c r="N28" s="201"/>
      <c r="O28" s="201"/>
      <c r="P28" s="201"/>
      <c r="Q28" s="201"/>
    </row>
    <row r="29" spans="2:17">
      <c r="B29" s="163" t="s">
        <v>358</v>
      </c>
      <c r="C29" s="869" t="s">
        <v>1728</v>
      </c>
      <c r="D29" s="869"/>
      <c r="E29" s="869"/>
      <c r="F29" s="869"/>
      <c r="G29" s="869"/>
      <c r="H29" s="869"/>
      <c r="I29" s="869"/>
      <c r="J29" s="869"/>
      <c r="K29" s="869"/>
      <c r="L29" s="201"/>
      <c r="M29" s="201"/>
      <c r="N29" s="201"/>
      <c r="O29" s="201"/>
      <c r="P29" s="201"/>
      <c r="Q29" s="201"/>
    </row>
    <row r="30" spans="2:17">
      <c r="B30" s="795"/>
      <c r="C30" s="869" t="s">
        <v>1729</v>
      </c>
      <c r="D30" s="869"/>
      <c r="E30" s="869"/>
      <c r="F30" s="869"/>
      <c r="G30" s="869"/>
      <c r="H30" s="869"/>
      <c r="I30" s="869"/>
      <c r="J30" s="869"/>
      <c r="K30" s="869"/>
      <c r="L30" s="201"/>
      <c r="M30" s="201"/>
      <c r="N30" s="201"/>
      <c r="O30" s="201"/>
      <c r="P30" s="201"/>
      <c r="Q30" s="201"/>
    </row>
    <row r="31" spans="2:17">
      <c r="B31" s="795"/>
      <c r="C31" s="869" t="s">
        <v>1730</v>
      </c>
      <c r="D31" s="869"/>
      <c r="E31" s="869"/>
      <c r="F31" s="869"/>
      <c r="G31" s="869"/>
      <c r="H31" s="869"/>
      <c r="I31" s="869"/>
      <c r="J31" s="869"/>
      <c r="K31" s="869"/>
      <c r="L31" s="201"/>
      <c r="M31" s="201"/>
      <c r="N31" s="201"/>
      <c r="O31" s="201"/>
      <c r="P31" s="201"/>
      <c r="Q31" s="201"/>
    </row>
    <row r="32" spans="2:17">
      <c r="B32" s="163" t="s">
        <v>360</v>
      </c>
      <c r="C32" s="162" t="s">
        <v>386</v>
      </c>
      <c r="D32" s="869"/>
      <c r="E32" s="869"/>
      <c r="F32" s="869"/>
      <c r="G32" s="869"/>
      <c r="H32" s="869"/>
      <c r="I32" s="869"/>
      <c r="J32" s="869"/>
      <c r="K32" s="869"/>
      <c r="L32" s="201"/>
      <c r="M32" s="201"/>
      <c r="N32" s="201"/>
      <c r="O32" s="201"/>
      <c r="P32" s="201"/>
      <c r="Q32" s="201"/>
    </row>
    <row r="33" spans="2:17">
      <c r="B33" s="201"/>
      <c r="C33" s="201"/>
      <c r="D33" s="201"/>
      <c r="E33" s="201"/>
      <c r="F33" s="201"/>
      <c r="G33" s="201"/>
      <c r="H33" s="201"/>
      <c r="I33" s="201"/>
      <c r="J33" s="201"/>
      <c r="K33" s="201"/>
      <c r="L33" s="201"/>
      <c r="M33" s="201"/>
      <c r="N33" s="201"/>
      <c r="O33" s="201"/>
      <c r="P33" s="201"/>
      <c r="Q33" s="201"/>
    </row>
    <row r="34" spans="2:17">
      <c r="B34" s="201"/>
      <c r="C34" s="201"/>
      <c r="D34" s="201"/>
      <c r="E34" s="201"/>
      <c r="F34" s="201"/>
      <c r="G34" s="201"/>
      <c r="H34" s="201"/>
      <c r="I34" s="201"/>
      <c r="J34" s="201"/>
      <c r="K34" s="201"/>
      <c r="L34" s="201"/>
      <c r="M34" s="201"/>
      <c r="N34" s="201"/>
      <c r="O34" s="201"/>
      <c r="P34" s="201"/>
      <c r="Q34" s="201"/>
    </row>
  </sheetData>
  <mergeCells count="3">
    <mergeCell ref="B2:L2"/>
    <mergeCell ref="B11:E11"/>
    <mergeCell ref="H11:K11"/>
  </mergeCells>
  <phoneticPr fontId="178"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391A7-54A6-4CAC-B141-115B9B750E80}">
  <dimension ref="A1:J31"/>
  <sheetViews>
    <sheetView topLeftCell="A2" workbookViewId="0">
      <selection activeCell="J1" sqref="J1"/>
    </sheetView>
  </sheetViews>
  <sheetFormatPr defaultRowHeight="15.75"/>
  <cols>
    <col min="1" max="1" width="10.85546875" style="145" customWidth="1"/>
    <col min="2" max="2" width="10.5703125" style="145" customWidth="1"/>
    <col min="3" max="3" width="19.140625" style="145" customWidth="1"/>
    <col min="4" max="4" width="11.28515625" style="145" customWidth="1"/>
    <col min="5" max="5" width="12.85546875" style="145" customWidth="1"/>
    <col min="6" max="6" width="11.28515625" style="145" customWidth="1"/>
    <col min="7" max="7" width="10" style="145" customWidth="1"/>
    <col min="8" max="16384" width="9.140625" style="145"/>
  </cols>
  <sheetData>
    <row r="1" spans="1:10">
      <c r="B1" s="1049" t="s">
        <v>1731</v>
      </c>
      <c r="C1" s="1049"/>
      <c r="D1" s="1049"/>
      <c r="E1" s="1049"/>
      <c r="F1" s="1049"/>
      <c r="G1" s="1049"/>
      <c r="J1" s="886" t="s">
        <v>1991</v>
      </c>
    </row>
    <row r="2" spans="1:10">
      <c r="B2" s="1129" t="s">
        <v>1732</v>
      </c>
      <c r="C2" s="1129"/>
      <c r="D2" s="1129"/>
      <c r="E2" s="1129"/>
      <c r="F2" s="1129"/>
      <c r="G2" s="1129"/>
    </row>
    <row r="3" spans="1:10">
      <c r="A3" s="872"/>
      <c r="B3" s="843" t="s">
        <v>714</v>
      </c>
      <c r="C3" s="843" t="s">
        <v>715</v>
      </c>
      <c r="D3" s="843" t="s">
        <v>802</v>
      </c>
      <c r="E3" s="843" t="s">
        <v>719</v>
      </c>
      <c r="F3" s="843" t="s">
        <v>1733</v>
      </c>
      <c r="G3" s="843" t="s">
        <v>374</v>
      </c>
    </row>
    <row r="4" spans="1:10">
      <c r="A4" s="204"/>
      <c r="B4" s="101" t="s">
        <v>1734</v>
      </c>
      <c r="C4" s="675" t="str">
        <f>VLOOKUP(LEFT(B4,3),$B$16:$F$19,2,0)</f>
        <v>Gạo trắng dài</v>
      </c>
      <c r="D4" s="873">
        <v>100</v>
      </c>
      <c r="E4" s="675">
        <f>D4*VLOOKUP(LEFT(B4,3),$B$16:$F$19,IF(VALUE(RIGHT(B4,1))=1,3,IF(VALUE(RIGHT(B4,1))=2,4,5)),0)</f>
        <v>2000</v>
      </c>
      <c r="F4" s="874">
        <f>IF(VALUE(RIGHT(B4,1))=1,E4*3%,IF(VALUE(RIGHT(B4,1))=2,E4*5%,E4*7%))</f>
        <v>60</v>
      </c>
      <c r="G4" s="874">
        <f>E4-F4</f>
        <v>1940</v>
      </c>
    </row>
    <row r="5" spans="1:10">
      <c r="A5" s="204"/>
      <c r="B5" s="101" t="s">
        <v>1735</v>
      </c>
      <c r="C5" s="675" t="str">
        <f t="shared" ref="C5:C10" si="0">VLOOKUP(LEFT(B5,3),$B$16:$F$19,2,0)</f>
        <v>Gạo thơm</v>
      </c>
      <c r="D5" s="873">
        <v>245</v>
      </c>
      <c r="E5" s="675">
        <f t="shared" ref="E5:E10" si="1">D5*VLOOKUP(LEFT(B5,3),$B$16:$F$19,IF(VALUE(RIGHT(B5,1))=1,3,IF(VALUE(RIGHT(B5,1))=2,4,5)),0)</f>
        <v>11025</v>
      </c>
      <c r="F5" s="874">
        <f t="shared" ref="F5:F10" si="2">IF(VALUE(RIGHT(B5,1))=1,E5*3%,IF(VALUE(RIGHT(B5,1))=2,E5*5%,E5*7%))</f>
        <v>551.25</v>
      </c>
      <c r="G5" s="874">
        <f t="shared" ref="G5:G10" si="3">E5-F5</f>
        <v>10473.75</v>
      </c>
    </row>
    <row r="6" spans="1:10">
      <c r="A6" s="204"/>
      <c r="B6" s="101" t="s">
        <v>1736</v>
      </c>
      <c r="C6" s="675" t="str">
        <f t="shared" si="0"/>
        <v>Gạo Nàng Hương</v>
      </c>
      <c r="D6" s="873">
        <v>278</v>
      </c>
      <c r="E6" s="675">
        <f t="shared" si="1"/>
        <v>8340</v>
      </c>
      <c r="F6" s="874">
        <f t="shared" si="2"/>
        <v>583.80000000000007</v>
      </c>
      <c r="G6" s="874">
        <f t="shared" si="3"/>
        <v>7756.2</v>
      </c>
    </row>
    <row r="7" spans="1:10">
      <c r="A7" s="204"/>
      <c r="B7" s="101" t="s">
        <v>1737</v>
      </c>
      <c r="C7" s="675" t="str">
        <f t="shared" si="0"/>
        <v>Gạo trắng tròn</v>
      </c>
      <c r="D7" s="873">
        <v>189</v>
      </c>
      <c r="E7" s="675">
        <f t="shared" si="1"/>
        <v>7560</v>
      </c>
      <c r="F7" s="874">
        <f t="shared" si="2"/>
        <v>378</v>
      </c>
      <c r="G7" s="874">
        <f t="shared" si="3"/>
        <v>7182</v>
      </c>
    </row>
    <row r="8" spans="1:10">
      <c r="A8" s="204"/>
      <c r="B8" s="101" t="s">
        <v>1736</v>
      </c>
      <c r="C8" s="675" t="str">
        <f t="shared" si="0"/>
        <v>Gạo Nàng Hương</v>
      </c>
      <c r="D8" s="873">
        <v>256</v>
      </c>
      <c r="E8" s="675">
        <f t="shared" si="1"/>
        <v>7680</v>
      </c>
      <c r="F8" s="874">
        <f t="shared" si="2"/>
        <v>537.6</v>
      </c>
      <c r="G8" s="874">
        <f t="shared" si="3"/>
        <v>7142.4</v>
      </c>
    </row>
    <row r="9" spans="1:10">
      <c r="A9" s="204"/>
      <c r="B9" s="101" t="s">
        <v>1738</v>
      </c>
      <c r="C9" s="675" t="str">
        <f t="shared" si="0"/>
        <v>Gạo trắng dài</v>
      </c>
      <c r="D9" s="873">
        <v>289</v>
      </c>
      <c r="E9" s="675">
        <f t="shared" si="1"/>
        <v>11560</v>
      </c>
      <c r="F9" s="874">
        <f t="shared" si="2"/>
        <v>578</v>
      </c>
      <c r="G9" s="874">
        <f t="shared" si="3"/>
        <v>10982</v>
      </c>
    </row>
    <row r="10" spans="1:10">
      <c r="A10" s="204"/>
      <c r="B10" s="101" t="s">
        <v>1739</v>
      </c>
      <c r="C10" s="675" t="str">
        <f t="shared" si="0"/>
        <v>Gạo thơm</v>
      </c>
      <c r="D10" s="873">
        <v>275</v>
      </c>
      <c r="E10" s="675">
        <f t="shared" si="1"/>
        <v>20625</v>
      </c>
      <c r="F10" s="874">
        <f t="shared" si="2"/>
        <v>1443.7500000000002</v>
      </c>
      <c r="G10" s="874">
        <f t="shared" si="3"/>
        <v>19181.25</v>
      </c>
    </row>
    <row r="11" spans="1:10">
      <c r="B11" s="1217" t="s">
        <v>335</v>
      </c>
      <c r="C11" s="1217"/>
      <c r="D11" s="875">
        <f>SUM(D4:D10)</f>
        <v>1632</v>
      </c>
      <c r="E11" s="875">
        <f>SUM(E4:E10)</f>
        <v>68790</v>
      </c>
      <c r="F11" s="876">
        <f>SUM(F4:F10)</f>
        <v>4132.4000000000005</v>
      </c>
      <c r="G11" s="876">
        <f>SUM(G4:G10)</f>
        <v>64657.599999999999</v>
      </c>
    </row>
    <row r="12" spans="1:10">
      <c r="B12" s="1218" t="s">
        <v>336</v>
      </c>
      <c r="C12" s="1218"/>
      <c r="D12" s="877">
        <v>1632</v>
      </c>
      <c r="E12" s="878">
        <v>68790</v>
      </c>
      <c r="F12" s="879">
        <v>4132.3999999999996</v>
      </c>
      <c r="G12" s="879">
        <v>64657.599999999999</v>
      </c>
    </row>
    <row r="13" spans="1:10">
      <c r="B13" s="1219" t="s">
        <v>1740</v>
      </c>
      <c r="C13" s="1219"/>
      <c r="D13" s="1219"/>
      <c r="E13" s="1219"/>
      <c r="F13" s="1219"/>
    </row>
    <row r="14" spans="1:10">
      <c r="B14" s="1220" t="s">
        <v>714</v>
      </c>
      <c r="C14" s="1220" t="s">
        <v>715</v>
      </c>
      <c r="D14" s="1221" t="s">
        <v>571</v>
      </c>
      <c r="E14" s="1221"/>
      <c r="F14" s="1221"/>
    </row>
    <row r="15" spans="1:10">
      <c r="B15" s="1220"/>
      <c r="C15" s="1220"/>
      <c r="D15" s="803">
        <v>1</v>
      </c>
      <c r="E15" s="803">
        <v>2</v>
      </c>
      <c r="F15" s="803">
        <v>3</v>
      </c>
    </row>
    <row r="16" spans="1:10">
      <c r="B16" s="101" t="s">
        <v>1741</v>
      </c>
      <c r="C16" s="101" t="s">
        <v>1742</v>
      </c>
      <c r="D16" s="101">
        <v>20</v>
      </c>
      <c r="E16" s="101">
        <v>40</v>
      </c>
      <c r="F16" s="101">
        <v>60</v>
      </c>
    </row>
    <row r="17" spans="1:9">
      <c r="B17" s="101" t="s">
        <v>1743</v>
      </c>
      <c r="C17" s="101" t="s">
        <v>1744</v>
      </c>
      <c r="D17" s="101">
        <v>15</v>
      </c>
      <c r="E17" s="101">
        <v>45</v>
      </c>
      <c r="F17" s="101">
        <v>75</v>
      </c>
    </row>
    <row r="18" spans="1:9">
      <c r="B18" s="101" t="s">
        <v>1745</v>
      </c>
      <c r="C18" s="101" t="s">
        <v>1746</v>
      </c>
      <c r="D18" s="101">
        <v>10</v>
      </c>
      <c r="E18" s="101">
        <v>20</v>
      </c>
      <c r="F18" s="101">
        <v>30</v>
      </c>
    </row>
    <row r="19" spans="1:9">
      <c r="B19" s="101" t="s">
        <v>1747</v>
      </c>
      <c r="C19" s="101" t="s">
        <v>1748</v>
      </c>
      <c r="D19" s="101">
        <v>30</v>
      </c>
      <c r="E19" s="101">
        <v>40</v>
      </c>
      <c r="F19" s="101">
        <v>50</v>
      </c>
    </row>
    <row r="20" spans="1:9">
      <c r="A20" s="880" t="s">
        <v>345</v>
      </c>
      <c r="B20" s="881"/>
      <c r="C20" s="881"/>
      <c r="D20" s="881"/>
      <c r="E20" s="881"/>
      <c r="F20" s="881"/>
      <c r="G20" s="881"/>
      <c r="H20" s="881"/>
      <c r="I20" s="881"/>
    </row>
    <row r="21" spans="1:9">
      <c r="A21" s="882" t="s">
        <v>346</v>
      </c>
      <c r="B21" s="881" t="s">
        <v>1749</v>
      </c>
      <c r="C21" s="881"/>
      <c r="D21" s="881"/>
      <c r="E21" s="881"/>
      <c r="F21" s="881"/>
      <c r="G21" s="881"/>
      <c r="H21" s="881"/>
      <c r="I21" s="881"/>
    </row>
    <row r="22" spans="1:9">
      <c r="A22" s="882" t="s">
        <v>352</v>
      </c>
      <c r="B22" s="881" t="s">
        <v>1750</v>
      </c>
      <c r="C22" s="881"/>
      <c r="D22" s="881"/>
      <c r="E22" s="881"/>
      <c r="F22" s="881"/>
      <c r="G22" s="881"/>
      <c r="H22" s="881"/>
      <c r="I22" s="881"/>
    </row>
    <row r="23" spans="1:9">
      <c r="A23" s="883"/>
      <c r="B23" s="881" t="s">
        <v>1751</v>
      </c>
      <c r="C23" s="881"/>
      <c r="D23" s="881"/>
      <c r="E23" s="881"/>
      <c r="F23" s="881"/>
      <c r="G23" s="881"/>
      <c r="H23" s="881"/>
      <c r="I23" s="881"/>
    </row>
    <row r="24" spans="1:9">
      <c r="A24" s="882" t="s">
        <v>355</v>
      </c>
      <c r="B24" s="881" t="s">
        <v>1752</v>
      </c>
      <c r="C24" s="881"/>
      <c r="D24" s="881"/>
      <c r="E24" s="881"/>
      <c r="F24" s="881"/>
      <c r="G24" s="881"/>
      <c r="H24" s="881"/>
      <c r="I24" s="881"/>
    </row>
    <row r="25" spans="1:9">
      <c r="A25" s="883"/>
      <c r="B25" s="881" t="s">
        <v>1753</v>
      </c>
      <c r="C25" s="881"/>
      <c r="D25" s="881"/>
      <c r="E25" s="881"/>
      <c r="F25" s="881"/>
      <c r="G25" s="881"/>
      <c r="H25" s="881"/>
      <c r="I25" s="881"/>
    </row>
    <row r="26" spans="1:9">
      <c r="A26" s="883"/>
      <c r="B26" s="884" t="s">
        <v>1754</v>
      </c>
      <c r="C26" s="881"/>
      <c r="D26" s="881"/>
      <c r="E26" s="881"/>
      <c r="F26" s="881"/>
      <c r="G26" s="881"/>
      <c r="H26" s="881"/>
      <c r="I26" s="881"/>
    </row>
    <row r="27" spans="1:9">
      <c r="A27" s="883"/>
      <c r="B27" s="884" t="s">
        <v>1755</v>
      </c>
      <c r="C27" s="881"/>
      <c r="D27" s="881"/>
      <c r="E27" s="881"/>
      <c r="F27" s="881"/>
      <c r="G27" s="881"/>
      <c r="H27" s="881"/>
      <c r="I27" s="881"/>
    </row>
    <row r="28" spans="1:9">
      <c r="A28" s="883"/>
      <c r="B28" s="884" t="s">
        <v>1756</v>
      </c>
      <c r="C28" s="881"/>
      <c r="D28" s="881"/>
      <c r="E28" s="881"/>
      <c r="F28" s="881"/>
      <c r="G28" s="881"/>
      <c r="H28" s="881"/>
      <c r="I28" s="881"/>
    </row>
    <row r="29" spans="1:9">
      <c r="A29" s="882" t="s">
        <v>358</v>
      </c>
      <c r="B29" s="881" t="s">
        <v>1757</v>
      </c>
      <c r="C29" s="881"/>
      <c r="D29" s="881"/>
      <c r="E29" s="881"/>
      <c r="F29" s="881"/>
      <c r="G29" s="881"/>
      <c r="H29" s="881"/>
      <c r="I29" s="881"/>
    </row>
    <row r="30" spans="1:9">
      <c r="A30" s="882" t="s">
        <v>360</v>
      </c>
      <c r="B30" s="881" t="s">
        <v>1758</v>
      </c>
      <c r="C30" s="881"/>
      <c r="D30" s="881"/>
      <c r="E30" s="881"/>
      <c r="F30" s="881"/>
      <c r="G30" s="881"/>
      <c r="H30" s="881"/>
      <c r="I30" s="881"/>
    </row>
    <row r="31" spans="1:9">
      <c r="A31" s="404"/>
      <c r="B31" s="201"/>
      <c r="C31" s="201"/>
      <c r="D31" s="201"/>
    </row>
  </sheetData>
  <mergeCells count="8">
    <mergeCell ref="B1:G1"/>
    <mergeCell ref="B2:G2"/>
    <mergeCell ref="B11:C11"/>
    <mergeCell ref="B12:C12"/>
    <mergeCell ref="B13:F13"/>
    <mergeCell ref="B14:B15"/>
    <mergeCell ref="C14:C15"/>
    <mergeCell ref="D14:F14"/>
  </mergeCells>
  <phoneticPr fontId="17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13</vt:i4>
      </vt:variant>
    </vt:vector>
  </HeadingPairs>
  <TitlesOfParts>
    <vt:vector size="69" baseType="lpstr">
      <vt:lpstr>Bài mở đầu</vt:lpstr>
      <vt:lpstr>Bai 1</vt:lpstr>
      <vt:lpstr>Bai 2</vt:lpstr>
      <vt:lpstr>Bai 3</vt:lpstr>
      <vt:lpstr>Bai 4</vt:lpstr>
      <vt:lpstr>Bai 5</vt:lpstr>
      <vt:lpstr>Bai 6</vt:lpstr>
      <vt:lpstr>Bai 7</vt:lpstr>
      <vt:lpstr>Bai 8</vt:lpstr>
      <vt:lpstr>Bai 9</vt:lpstr>
      <vt:lpstr>Bai 10</vt:lpstr>
      <vt:lpstr>Bai 11</vt:lpstr>
      <vt:lpstr>Bai 12</vt:lpstr>
      <vt:lpstr>Bai 13</vt:lpstr>
      <vt:lpstr>Bai 14</vt:lpstr>
      <vt:lpstr>Bai 15</vt:lpstr>
      <vt:lpstr>Bai 16</vt:lpstr>
      <vt:lpstr>Bai 17</vt:lpstr>
      <vt:lpstr>Bai 18</vt:lpstr>
      <vt:lpstr>Bai 19</vt:lpstr>
      <vt:lpstr>Bai 20</vt:lpstr>
      <vt:lpstr>DANH SÁCH ĐĂNG KÝ THUÊ PHÒNG</vt:lpstr>
      <vt:lpstr>BẢNG THEO DÕI KHÁCH HÀNG </vt:lpstr>
      <vt:lpstr>BẢNG THỐNG KÊ KINH DOANH</vt:lpstr>
      <vt:lpstr>BẢNG LƯƠNG 2</vt:lpstr>
      <vt:lpstr>BẢNG CT TT KH CỦA MỘT KS</vt:lpstr>
      <vt:lpstr>KẾT QUẢ THI CUỐI KHÓA</vt:lpstr>
      <vt:lpstr>BẢNG CHIẾT TÍNH GT</vt:lpstr>
      <vt:lpstr>BẢNG THEO DÕI CUỘC GỌI</vt:lpstr>
      <vt:lpstr>BẢNG TÍNH TIỀN THUÊ XE 2</vt:lpstr>
      <vt:lpstr>BẢNG TÍNH TIỀN ĐIỆN</vt:lpstr>
      <vt:lpstr>BẢNG TÍNH TIỀN NƯỚC</vt:lpstr>
      <vt:lpstr>KẾT QUẢ HỌC TẬP NĂM 2002</vt:lpstr>
      <vt:lpstr>CÁC HÀM XỬ LÝ CHUỖI</vt:lpstr>
      <vt:lpstr>CÁC HÀM NGÀY THÁNG THỜI GIAN</vt:lpstr>
      <vt:lpstr>HÀM CƠ BẢN</vt:lpstr>
      <vt:lpstr>BÀI TẬP VỀ NGÀY THÁNG</vt:lpstr>
      <vt:lpstr>BĐHS</vt:lpstr>
      <vt:lpstr>BẢNG KÊ HÀNG TỒN KHO Q3 - 2000</vt:lpstr>
      <vt:lpstr>BC TÌNH HÌNH KINH DOANH</vt:lpstr>
      <vt:lpstr>BẢNG THỐNG KÊ BÁN HÀNG</vt:lpstr>
      <vt:lpstr>Sheet21A</vt:lpstr>
      <vt:lpstr>ĐÁP ÁN SHEET 21A</vt:lpstr>
      <vt:lpstr>BẢNG ĐIỂM THI XẾP LOẠI HỌC TẬP</vt:lpstr>
      <vt:lpstr>BẢNG THỐNG KÊ TIÊU THỤ SẢN PHẨM</vt:lpstr>
      <vt:lpstr>KẾT QUẢ TS</vt:lpstr>
      <vt:lpstr>GỌI ĐT</vt:lpstr>
      <vt:lpstr>Bài tập Excel </vt:lpstr>
      <vt:lpstr>BẢNG TÍNH TIỀN KS </vt:lpstr>
      <vt:lpstr>BÀI TẬP</vt:lpstr>
      <vt:lpstr>KẾT QUẢ KT CHẤT LƯỢNG ĐẦU NĂM</vt:lpstr>
      <vt:lpstr>BẢNG LƯƠNG THÁNG 1 NĂM 2003</vt:lpstr>
      <vt:lpstr>BẢNG TÍNH TIỀN KS</vt:lpstr>
      <vt:lpstr>BẢNG TÍNH TIỀN THUÊ XE</vt:lpstr>
      <vt:lpstr>KẾT QUẢ THI TUYỂN SINH</vt:lpstr>
      <vt:lpstr>TÌNH HÌNH XHNS QUÝ I NĂM 2002</vt:lpstr>
      <vt:lpstr>'Bai 13'!Criteria</vt:lpstr>
      <vt:lpstr>'Bai 15'!Criteria</vt:lpstr>
      <vt:lpstr>'Bai 16'!Criteria</vt:lpstr>
      <vt:lpstr>'Bai 17'!Criteria</vt:lpstr>
      <vt:lpstr>'Bai 18'!Criteria</vt:lpstr>
      <vt:lpstr>'Bai 20'!Criteria</vt:lpstr>
      <vt:lpstr>'Bai 13'!Extract</vt:lpstr>
      <vt:lpstr>'Bai 14'!Extract</vt:lpstr>
      <vt:lpstr>'Bai 15'!Extract</vt:lpstr>
      <vt:lpstr>'Bai 16'!Extract</vt:lpstr>
      <vt:lpstr>'Bai 17'!Extract</vt:lpstr>
      <vt:lpstr>'Bai 18'!Extract</vt:lpstr>
      <vt:lpstr>'Bai 20'!Extract</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Khang</dc:creator>
  <cp:lastModifiedBy>Dư Quí Nguyễn</cp:lastModifiedBy>
  <cp:lastPrinted>2011-11-08T14:51:18Z</cp:lastPrinted>
  <dcterms:created xsi:type="dcterms:W3CDTF">2005-12-10T04:55:27Z</dcterms:created>
  <dcterms:modified xsi:type="dcterms:W3CDTF">2026-03-13T08:10:13Z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UỲNH BÁ HỌC">
    <vt:lpwstr>HUỲNH BÁ HỌC</vt:lpwstr>
  </property>
</Properties>
</file>